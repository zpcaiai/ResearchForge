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⚠ 本次测量的效力边界" sheetId="1" state="visible" r:id="rId3"/>
    <sheet name="说明 Legend" sheetId="2" state="visible" r:id="rId4"/>
    <sheet name="参数 Params" sheetId="3" state="visible" r:id="rId5"/>
    <sheet name="样本 Sample" sheetId="4" state="visible" r:id="rId6"/>
    <sheet name="执行记录 Runs" sheetId="5" state="visible" r:id="rId7"/>
    <sheet name="配对比对 Comparisons" sheetId="6" state="visible" r:id="rId8"/>
    <sheet name="结果 Results" sheetId="7" state="visible" r:id="rId9"/>
    <sheet name="失败码 FailureCod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<sst xmlns="http://schemas.openxmlformats.org/spreadsheetml/2006/main" count="563" uniqueCount="304">
  <si>
    <r>
      <rPr>
        <b val="true"/>
        <sz val="13"/>
        <color rgb="FFC00000"/>
        <rFont val="Noto Sans CJK SC"/>
        <family val="2"/>
      </rPr>
      <t xml:space="preserve">本表已填入 </t>
    </r>
    <r>
      <rPr>
        <b val="true"/>
        <sz val="13"/>
        <color rgb="FFC00000"/>
        <rFont val="Arial"/>
        <family val="0"/>
        <charset val="1"/>
      </rPr>
      <t xml:space="preserve">2026-08-11 </t>
    </r>
    <r>
      <rPr>
        <b val="true"/>
        <sz val="13"/>
        <color rgb="FFC00000"/>
        <rFont val="Noto Sans CJK SC"/>
        <family val="2"/>
      </rPr>
      <t xml:space="preserve">实测数据，但自动判定结果不可采信。</t>
    </r>
  </si>
  <si>
    <t xml:space="preserve">为什么：本次探测的仪器本身是一个大的混淆因子。</t>
  </si>
  <si>
    <t xml:space="preserve">两个方向相反、量级未知的偏差同时存在，且不会互相抵消：</t>
  </si>
  <si>
    <r>
      <rPr>
        <sz val="11"/>
        <color rgb="FF000000"/>
        <rFont val="Arial"/>
        <family val="0"/>
        <charset val="1"/>
      </rPr>
      <t xml:space="preserve">  (1) </t>
    </r>
    <r>
      <rPr>
        <sz val="11"/>
        <color rgb="FF000000"/>
        <rFont val="Noto Sans CJK SC"/>
        <family val="2"/>
      </rPr>
      <t xml:space="preserve">抽样框是 </t>
    </r>
    <r>
      <rPr>
        <sz val="11"/>
        <color rgb="FF000000"/>
        <rFont val="Arial"/>
        <family val="0"/>
        <charset val="1"/>
      </rPr>
      <t xml:space="preserve">HF Daily Papers</t>
    </r>
    <r>
      <rPr>
        <sz val="11"/>
        <color rgb="FF000000"/>
        <rFont val="Noto Sans CJK SC"/>
        <family val="2"/>
      </rPr>
      <t xml:space="preserve">，一个策展</t>
    </r>
    <r>
      <rPr>
        <sz val="11"/>
        <color rgb="FF000000"/>
        <rFont val="Arial"/>
        <family val="0"/>
        <charset val="1"/>
      </rPr>
      <t xml:space="preserve">feed</t>
    </r>
    <r>
      <rPr>
        <sz val="11"/>
        <color rgb="FF000000"/>
        <rFont val="Noto Sans CJK SC"/>
        <family val="2"/>
      </rPr>
      <t xml:space="preserve">，偏向可见度高的工作 —— 抬高复现率</t>
    </r>
  </si>
  <si>
    <r>
      <rPr>
        <sz val="11"/>
        <color rgb="FF000000"/>
        <rFont val="Arial"/>
        <family val="0"/>
        <charset val="1"/>
      </rPr>
      <t xml:space="preserve">  (2) </t>
    </r>
    <r>
      <rPr>
        <sz val="11"/>
        <color rgb="FF000000"/>
        <rFont val="Noto Sans CJK SC"/>
        <family val="2"/>
      </rPr>
      <t xml:space="preserve">探测环境无 </t>
    </r>
    <r>
      <rPr>
        <sz val="11"/>
        <color rgb="FF000000"/>
        <rFont val="Arial"/>
        <family val="0"/>
        <charset val="1"/>
      </rPr>
      <t xml:space="preserve">conda</t>
    </r>
    <r>
      <rPr>
        <sz val="11"/>
        <color rgb="FF000000"/>
        <rFont val="Noto Sans CJK SC"/>
        <family val="2"/>
      </rPr>
      <t xml:space="preserve">、无 </t>
    </r>
    <r>
      <rPr>
        <sz val="11"/>
        <color rgb="FF000000"/>
        <rFont val="Arial"/>
        <family val="0"/>
        <charset val="1"/>
      </rPr>
      <t xml:space="preserve">download.pytorch.org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Arial"/>
        <family val="0"/>
        <charset val="1"/>
      </rPr>
      <t xml:space="preserve">Python </t>
    </r>
    <r>
      <rPr>
        <sz val="11"/>
        <color rgb="FF000000"/>
        <rFont val="Noto Sans CJK SC"/>
        <family val="2"/>
      </rPr>
      <t xml:space="preserve">版本固定为 </t>
    </r>
    <r>
      <rPr>
        <sz val="11"/>
        <color rgb="FF000000"/>
        <rFont val="Arial"/>
        <family val="0"/>
        <charset val="1"/>
      </rPr>
      <t xml:space="preserve">3.11 —— </t>
    </r>
    <r>
      <rPr>
        <sz val="11"/>
        <color rgb="FF000000"/>
        <rFont val="Noto Sans CJK SC"/>
        <family val="2"/>
      </rPr>
      <t xml:space="preserve">压低复现率</t>
    </r>
  </si>
  <si>
    <r>
      <rPr>
        <sz val="11"/>
        <color rgb="FF000000"/>
        <rFont val="Noto Sans CJK SC"/>
        <family val="2"/>
      </rPr>
      <t xml:space="preserve">因此「结果 </t>
    </r>
    <r>
      <rPr>
        <sz val="11"/>
        <color rgb="FF000000"/>
        <rFont val="Arial"/>
        <family val="0"/>
        <charset val="1"/>
      </rPr>
      <t xml:space="preserve">Results</t>
    </r>
    <r>
      <rPr>
        <sz val="11"/>
        <color rgb="FF000000"/>
        <rFont val="Noto Sans CJK SC"/>
        <family val="2"/>
      </rPr>
      <t xml:space="preserve">」表算出的 </t>
    </r>
    <r>
      <rPr>
        <sz val="11"/>
        <color rgb="FF000000"/>
        <rFont val="Arial"/>
        <family val="0"/>
        <charset val="1"/>
      </rPr>
      <t xml:space="preserve">P(RL&gt;=3)=0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Arial"/>
        <family val="0"/>
        <charset val="1"/>
      </rPr>
      <t xml:space="preserve">P(RL&gt;=1)=0 </t>
    </r>
    <r>
      <rPr>
        <sz val="11"/>
        <color rgb="FF000000"/>
        <rFont val="Noto Sans CJK SC"/>
        <family val="2"/>
      </rPr>
      <t xml:space="preserve">不是对世界的测量，</t>
    </r>
  </si>
  <si>
    <r>
      <rPr>
        <sz val="11"/>
        <color rgb="FF000000"/>
        <rFont val="Noto Sans CJK SC"/>
        <family val="2"/>
      </rPr>
      <t xml:space="preserve">而是对本次探测环境的测量。决策规则「</t>
    </r>
    <r>
      <rPr>
        <sz val="11"/>
        <color rgb="FF000000"/>
        <rFont val="Arial"/>
        <family val="0"/>
        <charset val="1"/>
      </rPr>
      <t xml:space="preserve">P(RL&gt;=1) &lt; 0.40 → </t>
    </r>
    <r>
      <rPr>
        <sz val="11"/>
        <color rgb="FF000000"/>
        <rFont val="Noto Sans CJK SC"/>
        <family val="2"/>
      </rPr>
      <t xml:space="preserve">停建执行平面」本次并未被触发，</t>
    </r>
  </si>
  <si>
    <t xml:space="preserve">它仍然处于未评估状态。</t>
  </si>
  <si>
    <r>
      <rPr>
        <b val="true"/>
        <sz val="11"/>
        <color rgb="FFC00000"/>
        <rFont val="Noto Sans CJK SC"/>
        <family val="2"/>
      </rPr>
      <t xml:space="preserve">本次唯一站得住的、与仪器无关的结论（见 </t>
    </r>
    <r>
      <rPr>
        <b val="true"/>
        <sz val="11"/>
        <color rgb="FFC00000"/>
        <rFont val="Arial"/>
        <family val="0"/>
        <charset val="1"/>
      </rPr>
      <t xml:space="preserve">FINDINGS.md §3</t>
    </r>
    <r>
      <rPr>
        <b val="true"/>
        <sz val="11"/>
        <color rgb="FFC00000"/>
        <rFont val="Noto Sans CJK SC"/>
        <family val="2"/>
      </rPr>
      <t xml:space="preserve">）：</t>
    </r>
  </si>
  <si>
    <r>
      <rPr>
        <sz val="11"/>
        <color rgb="FF000000"/>
        <rFont val="Arial"/>
        <family val="0"/>
        <charset val="1"/>
      </rPr>
      <t xml:space="preserve">  · 20% </t>
    </r>
    <r>
      <rPr>
        <sz val="11"/>
        <color rgb="FF000000"/>
        <rFont val="Noto Sans CJK SC"/>
        <family val="2"/>
      </rPr>
      <t xml:space="preserve">的论文（</t>
    </r>
    <r>
      <rPr>
        <sz val="11"/>
        <color rgb="FF000000"/>
        <rFont val="Arial"/>
        <family val="0"/>
        <charset val="1"/>
      </rPr>
      <t xml:space="preserve">4/20</t>
    </r>
    <r>
      <rPr>
        <sz val="11"/>
        <color rgb="FF000000"/>
        <rFont val="Noto Sans CJK SC"/>
        <family val="2"/>
      </rPr>
      <t xml:space="preserve">）根本没有公开代码仓库</t>
    </r>
  </si>
  <si>
    <r>
      <rPr>
        <sz val="11"/>
        <color rgb="FF000000"/>
        <rFont val="Arial"/>
        <family val="0"/>
        <charset val="1"/>
      </rPr>
      <t xml:space="preserve">  · </t>
    </r>
    <r>
      <rPr>
        <sz val="11"/>
        <color rgb="FF000000"/>
        <rFont val="Noto Sans CJK SC"/>
        <family val="2"/>
      </rPr>
      <t xml:space="preserve">已克隆仓库中 </t>
    </r>
    <r>
      <rPr>
        <sz val="11"/>
        <color rgb="FF000000"/>
        <rFont val="Arial"/>
        <family val="0"/>
        <charset val="1"/>
      </rPr>
      <t xml:space="preserve">25%</t>
    </r>
    <r>
      <rPr>
        <sz val="11"/>
        <color rgb="FF000000"/>
        <rFont val="Noto Sans CJK SC"/>
        <family val="2"/>
      </rPr>
      <t xml:space="preserve">（</t>
    </r>
    <r>
      <rPr>
        <sz val="11"/>
        <color rgb="FF000000"/>
        <rFont val="Arial"/>
        <family val="0"/>
        <charset val="1"/>
      </rPr>
      <t xml:space="preserve">4/16</t>
    </r>
    <r>
      <rPr>
        <sz val="11"/>
        <color rgb="FF000000"/>
        <rFont val="Noto Sans CJK SC"/>
        <family val="2"/>
      </rPr>
      <t xml:space="preserve">）全树搜索后没有任何依赖声明</t>
    </r>
  </si>
  <si>
    <r>
      <rPr>
        <sz val="11"/>
        <color rgb="FF000000"/>
        <rFont val="Arial"/>
        <family val="0"/>
        <charset val="1"/>
      </rPr>
      <t xml:space="preserve">  · </t>
    </r>
    <r>
      <rPr>
        <sz val="11"/>
        <color rgb="FF000000"/>
        <rFont val="Noto Sans CJK SC"/>
        <family val="2"/>
      </rPr>
      <t xml:space="preserve">合计 </t>
    </r>
    <r>
      <rPr>
        <sz val="11"/>
        <color rgb="FF000000"/>
        <rFont val="Arial"/>
        <family val="0"/>
        <charset val="1"/>
      </rPr>
      <t xml:space="preserve">40%</t>
    </r>
    <r>
      <rPr>
        <sz val="11"/>
        <color rgb="FF000000"/>
        <rFont val="Noto Sans CJK SC"/>
        <family val="2"/>
      </rPr>
      <t xml:space="preserve">（</t>
    </r>
    <r>
      <rPr>
        <sz val="11"/>
        <color rgb="FF000000"/>
        <rFont val="Arial"/>
        <family val="0"/>
        <charset val="1"/>
      </rPr>
      <t xml:space="preserve">8/20</t>
    </r>
    <r>
      <rPr>
        <sz val="11"/>
        <color rgb="FF000000"/>
        <rFont val="Noto Sans CJK SC"/>
        <family val="2"/>
      </rPr>
      <t xml:space="preserve">）因产物自身原因根本无法开始复现 —— 这个数字与我的环境无关</t>
    </r>
  </si>
  <si>
    <r>
      <rPr>
        <sz val="11"/>
        <color rgb="FF000000"/>
        <rFont val="Arial"/>
        <family val="0"/>
        <charset val="1"/>
      </rPr>
      <t xml:space="preserve">  · </t>
    </r>
    <r>
      <rPr>
        <sz val="11"/>
        <color rgb="FF000000"/>
        <rFont val="Noto Sans CJK SC"/>
        <family val="2"/>
      </rPr>
      <t xml:space="preserve">由此 </t>
    </r>
    <r>
      <rPr>
        <sz val="11"/>
        <color rgb="FF000000"/>
        <rFont val="Arial"/>
        <family val="0"/>
        <charset val="1"/>
      </rPr>
      <t xml:space="preserve">P(RL&gt;=1) </t>
    </r>
    <r>
      <rPr>
        <sz val="11"/>
        <color rgb="FF000000"/>
        <rFont val="Noto Sans CJK SC"/>
        <family val="2"/>
      </rPr>
      <t xml:space="preserve">的硬上界为 </t>
    </r>
    <r>
      <rPr>
        <sz val="11"/>
        <color rgb="FF000000"/>
        <rFont val="Arial"/>
        <family val="0"/>
        <charset val="1"/>
      </rPr>
      <t xml:space="preserve">60%</t>
    </r>
    <r>
      <rPr>
        <sz val="11"/>
        <color rgb="FF000000"/>
        <rFont val="Noto Sans CJK SC"/>
        <family val="2"/>
      </rPr>
      <t xml:space="preserve">，</t>
    </r>
    <r>
      <rPr>
        <sz val="11"/>
        <color rgb="FF000000"/>
        <rFont val="Arial"/>
        <family val="0"/>
        <charset val="1"/>
      </rPr>
      <t xml:space="preserve">CI [39%, 78%]</t>
    </r>
  </si>
  <si>
    <r>
      <rPr>
        <b val="true"/>
        <sz val="11"/>
        <color rgb="FFC00000"/>
        <rFont val="Noto Sans CJK SC"/>
        <family val="2"/>
      </rPr>
      <t xml:space="preserve">要得到可用的判定，必须在具备 </t>
    </r>
    <r>
      <rPr>
        <b val="true"/>
        <sz val="11"/>
        <color rgb="FFC00000"/>
        <rFont val="Arial"/>
        <family val="0"/>
        <charset val="1"/>
      </rPr>
      <t xml:space="preserve">conda + PyTorch </t>
    </r>
    <r>
      <rPr>
        <b val="true"/>
        <sz val="11"/>
        <color rgb="FFC00000"/>
        <rFont val="Noto Sans CJK SC"/>
        <family val="2"/>
      </rPr>
      <t xml:space="preserve">索引 </t>
    </r>
    <r>
      <rPr>
        <b val="true"/>
        <sz val="11"/>
        <color rgb="FFC00000"/>
        <rFont val="Arial"/>
        <family val="0"/>
        <charset val="1"/>
      </rPr>
      <t xml:space="preserve">+ </t>
    </r>
    <r>
      <rPr>
        <b val="true"/>
        <sz val="11"/>
        <color rgb="FFC00000"/>
        <rFont val="Noto Sans CJK SC"/>
        <family val="2"/>
      </rPr>
      <t xml:space="preserve">多版本 </t>
    </r>
    <r>
      <rPr>
        <b val="true"/>
        <sz val="11"/>
        <color rgb="FFC00000"/>
        <rFont val="Arial"/>
        <family val="0"/>
        <charset val="1"/>
      </rPr>
      <t xml:space="preserve">Python </t>
    </r>
    <r>
      <rPr>
        <b val="true"/>
        <sz val="11"/>
        <color rgb="FFC00000"/>
        <rFont val="Noto Sans CJK SC"/>
        <family val="2"/>
      </rPr>
      <t xml:space="preserve">的机器上重跑，</t>
    </r>
  </si>
  <si>
    <r>
      <rPr>
        <sz val="11"/>
        <color rgb="FF000000"/>
        <rFont val="Noto Sans CJK SC"/>
        <family val="2"/>
      </rPr>
      <t xml:space="preserve">并按协议 </t>
    </r>
    <r>
      <rPr>
        <sz val="11"/>
        <color rgb="FF000000"/>
        <rFont val="Arial"/>
        <family val="0"/>
        <charset val="1"/>
      </rPr>
      <t xml:space="preserve">§4 </t>
    </r>
    <r>
      <rPr>
        <sz val="11"/>
        <color rgb="FF000000"/>
        <rFont val="Noto Sans CJK SC"/>
        <family val="2"/>
      </rPr>
      <t xml:space="preserve">步骤 </t>
    </r>
    <r>
      <rPr>
        <sz val="11"/>
        <color rgb="FF000000"/>
        <rFont val="Arial"/>
        <family val="0"/>
        <charset val="1"/>
      </rPr>
      <t xml:space="preserve">0 </t>
    </r>
    <r>
      <rPr>
        <sz val="11"/>
        <color rgb="FF000000"/>
        <rFont val="Noto Sans CJK SC"/>
        <family val="2"/>
      </rPr>
      <t xml:space="preserve">先做种子方差探测。</t>
    </r>
    <r>
      <rPr>
        <sz val="11"/>
        <color rgb="FF000000"/>
        <rFont val="Arial"/>
        <family val="0"/>
        <charset val="1"/>
      </rPr>
      <t xml:space="preserve">build_frame.py </t>
    </r>
    <r>
      <rPr>
        <sz val="11"/>
        <color rgb="FF000000"/>
        <rFont val="Noto Sans CJK SC"/>
        <family val="2"/>
      </rPr>
      <t xml:space="preserve">与 </t>
    </r>
    <r>
      <rPr>
        <sz val="11"/>
        <color rgb="FF000000"/>
        <rFont val="Arial"/>
        <family val="0"/>
        <charset val="1"/>
      </rPr>
      <t xml:space="preserve">probe.py </t>
    </r>
    <r>
      <rPr>
        <sz val="11"/>
        <color rgb="FF000000"/>
        <rFont val="Noto Sans CJK SC"/>
        <family val="2"/>
      </rPr>
      <t xml:space="preserve">均已交付。</t>
    </r>
  </si>
  <si>
    <r>
      <rPr>
        <b val="true"/>
        <sz val="14"/>
        <rFont val="Arial"/>
        <family val="0"/>
        <charset val="1"/>
      </rPr>
      <t xml:space="preserve">ResearchForge — 20 </t>
    </r>
    <r>
      <rPr>
        <b val="true"/>
        <sz val="14"/>
        <rFont val="Noto Sans CJK SC"/>
        <family val="2"/>
      </rPr>
      <t xml:space="preserve">篇复现研究追踪表 </t>
    </r>
    <r>
      <rPr>
        <b val="true"/>
        <sz val="14"/>
        <rFont val="Arial"/>
        <family val="0"/>
        <charset val="1"/>
      </rPr>
      <t xml:space="preserve">v1.0</t>
    </r>
  </si>
  <si>
    <t xml:space="preserve">协议</t>
  </si>
  <si>
    <r>
      <rPr>
        <sz val="10"/>
        <rFont val="Arial"/>
        <family val="0"/>
        <charset val="1"/>
      </rPr>
      <t xml:space="preserve">REPRO_STUDY_PROTOCOL.md</t>
    </r>
    <r>
      <rPr>
        <sz val="10"/>
        <rFont val="Noto Sans CJK SC"/>
        <family val="2"/>
      </rPr>
      <t xml:space="preserve">。开跑前请完整读完 </t>
    </r>
    <r>
      <rPr>
        <sz val="10"/>
        <rFont val="Arial"/>
        <family val="0"/>
        <charset val="1"/>
      </rPr>
      <t xml:space="preserve">§2</t>
    </r>
    <r>
      <rPr>
        <sz val="10"/>
        <rFont val="Noto Sans CJK SC"/>
        <family val="2"/>
      </rPr>
      <t xml:space="preserve">（抽样）与 </t>
    </r>
    <r>
      <rPr>
        <sz val="10"/>
        <rFont val="Arial"/>
        <family val="0"/>
        <charset val="1"/>
      </rPr>
      <t xml:space="preserve">§6</t>
    </r>
    <r>
      <rPr>
        <sz val="10"/>
        <rFont val="Noto Sans CJK SC"/>
        <family val="2"/>
      </rPr>
      <t xml:space="preserve">（决策规则）。</t>
    </r>
  </si>
  <si>
    <t xml:space="preserve">你要填的单元格</t>
  </si>
  <si>
    <t xml:space="preserve">蓝色字体 = 手工输入。黄色底 = 开跑前必须先定的关键参数。黑色字体 = 公式，不要改。</t>
  </si>
  <si>
    <t xml:space="preserve">填写顺序</t>
  </si>
  <si>
    <r>
      <rPr>
        <sz val="10"/>
        <rFont val="Arial"/>
        <family val="0"/>
        <charset val="1"/>
      </rPr>
      <t xml:space="preserve">1) </t>
    </r>
    <r>
      <rPr>
        <sz val="10"/>
        <rFont val="Noto Sans CJK SC"/>
        <family val="2"/>
      </rPr>
      <t xml:space="preserve">参数 </t>
    </r>
    <r>
      <rPr>
        <sz val="10"/>
        <rFont val="Arial"/>
        <family val="0"/>
        <charset val="1"/>
      </rPr>
      <t xml:space="preserve">Params </t>
    </r>
    <r>
      <rPr>
        <sz val="10"/>
        <rFont val="Noto Sans CJK SC"/>
        <family val="2"/>
      </rPr>
      <t xml:space="preserve">定死 → </t>
    </r>
    <r>
      <rPr>
        <sz val="10"/>
        <rFont val="Arial"/>
        <family val="0"/>
        <charset val="1"/>
      </rPr>
      <t xml:space="preserve">2) </t>
    </r>
    <r>
      <rPr>
        <sz val="10"/>
        <rFont val="Noto Sans CJK SC"/>
        <family val="2"/>
      </rPr>
      <t xml:space="preserve">样本 </t>
    </r>
    <r>
      <rPr>
        <sz val="10"/>
        <rFont val="Arial"/>
        <family val="0"/>
        <charset val="1"/>
      </rPr>
      <t xml:space="preserve">Sample </t>
    </r>
    <r>
      <rPr>
        <sz val="10"/>
        <rFont val="Noto Sans CJK SC"/>
        <family val="2"/>
      </rPr>
      <t xml:space="preserve">冻结 → </t>
    </r>
    <r>
      <rPr>
        <sz val="10"/>
        <rFont val="Arial"/>
        <family val="0"/>
        <charset val="1"/>
      </rPr>
      <t xml:space="preserve">3) </t>
    </r>
    <r>
      <rPr>
        <sz val="10"/>
        <rFont val="Noto Sans CJK SC"/>
        <family val="2"/>
      </rPr>
      <t xml:space="preserve">执行记录 </t>
    </r>
    <r>
      <rPr>
        <sz val="10"/>
        <rFont val="Arial"/>
        <family val="0"/>
        <charset val="1"/>
      </rPr>
      <t xml:space="preserve">Runs </t>
    </r>
    <r>
      <rPr>
        <sz val="10"/>
        <rFont val="Noto Sans CJK SC"/>
        <family val="2"/>
      </rPr>
      <t xml:space="preserve">逐篇填 → </t>
    </r>
    <r>
      <rPr>
        <sz val="10"/>
        <rFont val="Arial"/>
        <family val="0"/>
        <charset val="1"/>
      </rPr>
      <t xml:space="preserve">4) </t>
    </r>
    <r>
      <rPr>
        <sz val="10"/>
        <rFont val="Noto Sans CJK SC"/>
        <family val="2"/>
      </rPr>
      <t xml:space="preserve">配对比对 </t>
    </r>
    <r>
      <rPr>
        <sz val="10"/>
        <rFont val="Arial"/>
        <family val="0"/>
        <charset val="1"/>
      </rPr>
      <t xml:space="preserve">Comparisons </t>
    </r>
    <r>
      <rPr>
        <sz val="10"/>
        <rFont val="Noto Sans CJK SC"/>
        <family val="2"/>
      </rPr>
      <t xml:space="preserve">填每条主结果 → </t>
    </r>
    <r>
      <rPr>
        <sz val="10"/>
        <rFont val="Arial"/>
        <family val="0"/>
        <charset val="1"/>
      </rPr>
      <t xml:space="preserve">5) </t>
    </r>
    <r>
      <rPr>
        <sz val="10"/>
        <rFont val="Noto Sans CJK SC"/>
        <family val="2"/>
      </rPr>
      <t xml:space="preserve">结果 </t>
    </r>
    <r>
      <rPr>
        <sz val="10"/>
        <rFont val="Arial"/>
        <family val="0"/>
        <charset val="1"/>
      </rPr>
      <t xml:space="preserve">Results </t>
    </r>
    <r>
      <rPr>
        <sz val="10"/>
        <rFont val="Noto Sans CJK SC"/>
        <family val="2"/>
      </rPr>
      <t xml:space="preserve">自动算</t>
    </r>
  </si>
  <si>
    <t xml:space="preserve">最重要的一条</t>
  </si>
  <si>
    <t xml:space="preserve">样本抽出后即冻结。不要因为「这篇看起来太难」而替换 —— 那正是会把复现率系统性抬高、</t>
  </si>
  <si>
    <t xml:space="preserve">让整个研究失去意义的操作。若确需替换，在 Sample 表记录理由，替换次数本身要单独报告。</t>
  </si>
  <si>
    <t xml:space="preserve">第二重要的一条</t>
  </si>
  <si>
    <t xml:space="preserve">每篇先做步骤 0（3 个种子测自身方差）再定容差。跳过这步，高方差任务上的</t>
  </si>
  <si>
    <t xml:space="preserve">「复现失败」判定是噪声，不是结论。</t>
  </si>
  <si>
    <r>
      <rPr>
        <sz val="10"/>
        <rFont val="Arial"/>
        <family val="0"/>
        <charset val="1"/>
      </rPr>
      <t xml:space="preserve">RL </t>
    </r>
    <r>
      <rPr>
        <sz val="10"/>
        <rFont val="Noto Sans CJK SC"/>
        <family val="2"/>
      </rPr>
      <t xml:space="preserve">分级</t>
    </r>
  </si>
  <si>
    <r>
      <rPr>
        <sz val="10"/>
        <rFont val="Arial"/>
        <family val="0"/>
        <charset val="1"/>
      </rPr>
      <t xml:space="preserve">RL0 </t>
    </r>
    <r>
      <rPr>
        <sz val="10"/>
        <rFont val="Noto Sans CJK SC"/>
        <family val="2"/>
      </rPr>
      <t xml:space="preserve">未复现 </t>
    </r>
    <r>
      <rPr>
        <sz val="10"/>
        <rFont val="Arial"/>
        <family val="0"/>
        <charset val="1"/>
      </rPr>
      <t xml:space="preserve">/ RL1 </t>
    </r>
    <r>
      <rPr>
        <sz val="10"/>
        <rFont val="Noto Sans CJK SC"/>
        <family val="2"/>
      </rPr>
      <t xml:space="preserve">代码能跑 </t>
    </r>
    <r>
      <rPr>
        <sz val="10"/>
        <rFont val="Arial"/>
        <family val="0"/>
        <charset val="1"/>
      </rPr>
      <t xml:space="preserve">/ RL2 </t>
    </r>
    <r>
      <rPr>
        <sz val="10"/>
        <rFont val="Noto Sans CJK SC"/>
        <family val="2"/>
      </rPr>
      <t xml:space="preserve">缩小设置量级方向一致 </t>
    </r>
    <r>
      <rPr>
        <sz val="10"/>
        <rFont val="Arial"/>
        <family val="0"/>
        <charset val="1"/>
      </rPr>
      <t xml:space="preserve">/ RL3 </t>
    </r>
    <r>
      <rPr>
        <sz val="10"/>
        <rFont val="Noto Sans CJK SC"/>
        <family val="2"/>
      </rPr>
      <t xml:space="preserve">至少一个主结果在容差内 </t>
    </r>
    <r>
      <rPr>
        <sz val="10"/>
        <rFont val="Arial"/>
        <family val="0"/>
        <charset val="1"/>
      </rPr>
      <t xml:space="preserve">/ RL4 </t>
    </r>
    <r>
      <rPr>
        <sz val="10"/>
        <rFont val="Noto Sans CJK SC"/>
        <family val="2"/>
      </rPr>
      <t xml:space="preserve">主表多数条目在容差内</t>
    </r>
  </si>
  <si>
    <t xml:space="preserve">缩小设置的运行永远不能支撑 RL3 或 RL4。</t>
  </si>
  <si>
    <t xml:space="preserve">两个臂</t>
  </si>
  <si>
    <r>
      <rPr>
        <sz val="10"/>
        <rFont val="Arial"/>
        <family val="0"/>
        <charset val="1"/>
      </rPr>
      <t xml:space="preserve">A = agent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小时时间盒，无人工干预；</t>
    </r>
    <r>
      <rPr>
        <sz val="10"/>
        <rFont val="Arial"/>
        <family val="0"/>
        <charset val="1"/>
      </rPr>
      <t xml:space="preserve">B = </t>
    </r>
    <r>
      <rPr>
        <sz val="10"/>
        <rFont val="Noto Sans CJK SC"/>
        <family val="2"/>
      </rPr>
      <t xml:space="preserve">人类工程师，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小时上限，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篇随机子集。</t>
    </r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</si>
  <si>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臂执行者不得先看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臂日志。</t>
    </r>
  </si>
  <si>
    <t xml:space="preserve">样例行</t>
  </si>
  <si>
    <r>
      <rPr>
        <sz val="10"/>
        <rFont val="Arial"/>
        <family val="0"/>
        <charset val="1"/>
      </rPr>
      <t xml:space="preserve">Runs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Comparisons </t>
    </r>
    <r>
      <rPr>
        <sz val="10"/>
        <rFont val="Noto Sans CJK SC"/>
        <family val="2"/>
      </rPr>
      <t xml:space="preserve">各有一行灰色样例，展示期望格式。开始填真实数据前请删除这两行。</t>
    </r>
  </si>
  <si>
    <t xml:space="preserve">参数</t>
  </si>
  <si>
    <t xml:space="preserve">值</t>
  </si>
  <si>
    <t xml:space="preserve">单位/取值</t>
  </si>
  <si>
    <t xml:space="preserve">说明</t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</si>
  <si>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臂时间盒</t>
    </r>
  </si>
  <si>
    <t xml:space="preserve">小时</t>
  </si>
  <si>
    <t xml:space="preserve">每篇论文 agent 的 wall-clock 上限，用尽即停并记录当时达到的 RL</t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</si>
  <si>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臂时间盒</t>
    </r>
  </si>
  <si>
    <t xml:space="preserve">人类工程师上限</t>
  </si>
  <si>
    <t xml:space="preserve">样本量 n</t>
  </si>
  <si>
    <t xml:space="preserve">篇</t>
  </si>
  <si>
    <r>
      <rPr>
        <sz val="10"/>
        <rFont val="Arial"/>
        <family val="0"/>
        <charset val="1"/>
      </rPr>
      <t xml:space="preserve">n=20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95% </t>
    </r>
    <r>
      <rPr>
        <sz val="10"/>
        <rFont val="Noto Sans CJK SC"/>
        <family val="2"/>
      </rPr>
      <t xml:space="preserve">区间约 </t>
    </r>
    <r>
      <rPr>
        <sz val="10"/>
        <rFont val="Arial"/>
        <family val="0"/>
        <charset val="1"/>
      </rPr>
      <t xml:space="preserve">±21pp</t>
    </r>
    <r>
      <rPr>
        <sz val="10"/>
        <rFont val="Noto Sans CJK SC"/>
        <family val="2"/>
      </rPr>
      <t xml:space="preserve">；只支持粗粒度结论，见协议 </t>
    </r>
    <r>
      <rPr>
        <sz val="10"/>
        <rFont val="Arial"/>
        <family val="0"/>
        <charset val="1"/>
      </rPr>
      <t xml:space="preserve">§7</t>
    </r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</si>
  <si>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臂样本量</t>
    </r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</si>
  <si>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臂的随机子集</t>
    </r>
  </si>
  <si>
    <t xml:space="preserve">抽样种子</t>
  </si>
  <si>
    <t xml:space="preserve">整数</t>
  </si>
  <si>
    <t xml:space="preserve">写死并记录；样本冻结后不得重抽</t>
  </si>
  <si>
    <t xml:space="preserve">方差探测种子数</t>
  </si>
  <si>
    <t xml:space="preserve">次</t>
  </si>
  <si>
    <t xml:space="preserve">步骤 0：同一实验换随机种子重复的次数</t>
  </si>
  <si>
    <t xml:space="preserve">容差下限（相对）</t>
  </si>
  <si>
    <t xml:space="preserve">比例</t>
  </si>
  <si>
    <t xml:space="preserve">容差 = MAX(论文报告方差, 实测标准差×2, 本值)</t>
  </si>
  <si>
    <t xml:space="preserve">容差倍数</t>
  </si>
  <si>
    <t xml:space="preserve">×</t>
  </si>
  <si>
    <t xml:space="preserve">实测标准差的乘数</t>
  </si>
  <si>
    <t xml:space="preserve">Wilson z</t>
  </si>
  <si>
    <t xml:space="preserve">—</t>
  </si>
  <si>
    <r>
      <rPr>
        <sz val="10"/>
        <rFont val="Arial"/>
        <family val="0"/>
        <charset val="1"/>
      </rPr>
      <t xml:space="preserve">95% </t>
    </r>
    <r>
      <rPr>
        <sz val="10"/>
        <rFont val="Noto Sans CJK SC"/>
        <family val="2"/>
      </rPr>
      <t xml:space="preserve">置信区间</t>
    </r>
  </si>
  <si>
    <t xml:space="preserve">决策阈值 P(RL&gt;=3) 高</t>
  </si>
  <si>
    <t xml:space="preserve">≥ 此值：按现设计推进，CM_MEASURED 为主路径</t>
  </si>
  <si>
    <t xml:space="preserve">决策阈值 P(RL&gt;=3) 低</t>
  </si>
  <si>
    <t xml:space="preserve">低于此值且 P(RL&gt;=1)≥0.40：放弃「超越报告数值」为主要卖点</t>
  </si>
  <si>
    <t xml:space="preserve">决策阈值 P(RL&gt;=1)</t>
  </si>
  <si>
    <t xml:space="preserve">低于此值：停止建执行平面</t>
  </si>
  <si>
    <t xml:space="preserve">边界重抽带宽</t>
  </si>
  <si>
    <t xml:space="preserve">若 P(RL&gt;=3) 落在阈值 ±此值内，追加 20 篇再决策，不要硬判</t>
  </si>
  <si>
    <t xml:space="preserve">序号</t>
  </si>
  <si>
    <t xml:space="preserve">paper_id</t>
  </si>
  <si>
    <t xml:space="preserve">标题</t>
  </si>
  <si>
    <t xml:space="preserve">论文 URL</t>
  </si>
  <si>
    <t xml:space="preserve">代码 URL</t>
  </si>
  <si>
    <t xml:space="preserve">代码可得性</t>
  </si>
  <si>
    <t xml:space="preserve">计算量层</t>
  </si>
  <si>
    <t xml:space="preserve">仓库最后提交</t>
  </si>
  <si>
    <r>
      <rPr>
        <b val="true"/>
        <sz val="10"/>
        <color rgb="FFFFFFFF"/>
        <rFont val="Arial"/>
        <family val="0"/>
        <charset val="1"/>
      </rPr>
      <t xml:space="preserve">Star </t>
    </r>
    <r>
      <rPr>
        <b val="true"/>
        <sz val="10"/>
        <color rgb="FFFFFFFF"/>
        <rFont val="Noto Sans CJK SC"/>
        <family val="2"/>
      </rPr>
      <t xml:space="preserve">数</t>
    </r>
  </si>
  <si>
    <r>
      <rPr>
        <b val="true"/>
        <sz val="10"/>
        <color rgb="FFFFFFFF"/>
        <rFont val="Arial"/>
        <family val="0"/>
        <charset val="1"/>
      </rPr>
      <t xml:space="preserve">README </t>
    </r>
    <r>
      <rPr>
        <b val="true"/>
        <sz val="10"/>
        <color rgb="FFFFFFFF"/>
        <rFont val="Noto Sans CJK SC"/>
        <family val="2"/>
      </rPr>
      <t xml:space="preserve">有复现章节</t>
    </r>
  </si>
  <si>
    <t xml:space="preserve">有依赖锁文件</t>
  </si>
  <si>
    <t xml:space="preserve">是否替换</t>
  </si>
  <si>
    <t xml:space="preserve">替换理由</t>
  </si>
  <si>
    <t xml:space="preserve">iclr25-0042</t>
  </si>
  <si>
    <r>
      <rPr>
        <i val="true"/>
        <sz val="10"/>
        <color rgb="FF808080"/>
        <rFont val="Arial"/>
        <family val="0"/>
        <charset val="1"/>
      </rPr>
      <t xml:space="preserve">(</t>
    </r>
    <r>
      <rPr>
        <i val="true"/>
        <sz val="10"/>
        <color rgb="FF808080"/>
        <rFont val="Noto Sans CJK SC"/>
        <family val="2"/>
      </rPr>
      <t xml:space="preserve">样例</t>
    </r>
    <r>
      <rPr>
        <i val="true"/>
        <sz val="10"/>
        <color rgb="FF808080"/>
        <rFont val="Arial"/>
        <family val="0"/>
        <charset val="1"/>
      </rPr>
      <t xml:space="preserve">) Efficient X for Y</t>
    </r>
  </si>
  <si>
    <t xml:space="preserve">https://openreview.net/forum?id=...</t>
  </si>
  <si>
    <t xml:space="preserve">https://github.com/org/repo</t>
  </si>
  <si>
    <t xml:space="preserve">official</t>
  </si>
  <si>
    <t xml:space="preserve">lt10min</t>
  </si>
  <si>
    <t xml:space="preserve">2025-03-11</t>
  </si>
  <si>
    <t xml:space="preserve">是</t>
  </si>
  <si>
    <t xml:space="preserve">否</t>
  </si>
  <si>
    <t xml:space="preserve">2510.03561</t>
  </si>
  <si>
    <t xml:space="preserve">Reactive Transformer (RxT)</t>
  </si>
  <si>
    <t xml:space="preserve">https://arxiv.org/abs/2510.03561</t>
  </si>
  <si>
    <t xml:space="preserve">https://github.com/RxAI-dev/rxlm</t>
  </si>
  <si>
    <t xml:space="preserve">2026-05-27</t>
  </si>
  <si>
    <t xml:space="preserve">2510.11391</t>
  </si>
  <si>
    <t xml:space="preserve">DocReward</t>
  </si>
  <si>
    <t xml:space="preserve">https://arxiv.org/abs/2510.11391</t>
  </si>
  <si>
    <t xml:space="preserve">NONE</t>
  </si>
  <si>
    <t xml:space="preserve">none</t>
  </si>
  <si>
    <t xml:space="preserve">2511.06194</t>
  </si>
  <si>
    <t xml:space="preserve">NURBGen</t>
  </si>
  <si>
    <t xml:space="preserve">https://arxiv.org/abs/2511.06194</t>
  </si>
  <si>
    <t xml:space="preserve">https://github.com/SadilKhan/NURBGen</t>
  </si>
  <si>
    <t xml:space="preserve">2026-04-21</t>
  </si>
  <si>
    <t xml:space="preserve">2510.17509</t>
  </si>
  <si>
    <t xml:space="preserve">Annotation-Efficient Universal Honesty Alignment</t>
  </si>
  <si>
    <t xml:space="preserve">https://arxiv.org/abs/2510.17509</t>
  </si>
  <si>
    <t xml:space="preserve">https://github.com/Trustworthy-Information-Access/Annotation-Efficient-Universal-Honesty-Alignment</t>
  </si>
  <si>
    <t xml:space="preserve">2026-04-09</t>
  </si>
  <si>
    <t xml:space="preserve">2512.18184</t>
  </si>
  <si>
    <t xml:space="preserve">Is There a Better Source Distribution than Gaussian</t>
  </si>
  <si>
    <t xml:space="preserve">https://arxiv.org/abs/2512.18184</t>
  </si>
  <si>
    <t xml:space="preserve">https://github.com/kwanseokk/SourceFM</t>
  </si>
  <si>
    <t xml:space="preserve">2025-12-30</t>
  </si>
  <si>
    <t xml:space="preserve">2511.06209</t>
  </si>
  <si>
    <t xml:space="preserve">Reasoning with Confidence</t>
  </si>
  <si>
    <t xml:space="preserve">https://arxiv.org/abs/2511.06209</t>
  </si>
  <si>
    <t xml:space="preserve">2511.07327</t>
  </si>
  <si>
    <t xml:space="preserve">IterResearch</t>
  </si>
  <si>
    <t xml:space="preserve">https://arxiv.org/abs/2511.07327</t>
  </si>
  <si>
    <t xml:space="preserve">2512.19432</t>
  </si>
  <si>
    <t xml:space="preserve">MobileWorld</t>
  </si>
  <si>
    <t xml:space="preserve">https://arxiv.org/abs/2512.19432</t>
  </si>
  <si>
    <t xml:space="preserve">https://github.com/Tongyi-MAI/MobileWorld</t>
  </si>
  <si>
    <t xml:space="preserve">2026-08-04</t>
  </si>
  <si>
    <t xml:space="preserve">2510.09285</t>
  </si>
  <si>
    <t xml:space="preserve">Spotlight on Token Perception for Multimodal RL</t>
  </si>
  <si>
    <t xml:space="preserve">https://arxiv.org/abs/2510.09285</t>
  </si>
  <si>
    <t xml:space="preserve">https://github.com/huaixuheqing/VPPO-RL</t>
  </si>
  <si>
    <t xml:space="preserve">2026-04-03</t>
  </si>
  <si>
    <t xml:space="preserve">2511.13288</t>
  </si>
  <si>
    <t xml:space="preserve">Multi-Agent Deep Research with M-GRPO</t>
  </si>
  <si>
    <t xml:space="preserve">https://arxiv.org/abs/2511.13288</t>
  </si>
  <si>
    <t xml:space="preserve">https://github.com/AQ-MedAI/MrlX</t>
  </si>
  <si>
    <t xml:space="preserve">2026-01-19</t>
  </si>
  <si>
    <t xml:space="preserve">2511.12609</t>
  </si>
  <si>
    <t xml:space="preserve">Uni-MoE-2.0-Omni</t>
  </si>
  <si>
    <t xml:space="preserve">https://arxiv.org/abs/2511.12609</t>
  </si>
  <si>
    <t xml:space="preserve">https://github.com/HITsz-TMG/Uni-MoE</t>
  </si>
  <si>
    <t xml:space="preserve">2026-08-06</t>
  </si>
  <si>
    <t xml:space="preserve">2512.13080</t>
  </si>
  <si>
    <t xml:space="preserve">Spatial-Aware VLA Pretraining</t>
  </si>
  <si>
    <t xml:space="preserve">https://arxiv.org/abs/2512.13080</t>
  </si>
  <si>
    <t xml:space="preserve">https://github.com/BeingBeyond/VIPA-VLA</t>
  </si>
  <si>
    <t xml:space="preserve">2025-12-16</t>
  </si>
  <si>
    <t xml:space="preserve">2511.07250</t>
  </si>
  <si>
    <t xml:space="preserve">MVU-Eval</t>
  </si>
  <si>
    <t xml:space="preserve">https://arxiv.org/abs/2511.07250</t>
  </si>
  <si>
    <t xml:space="preserve">https://github.com/NJU-LINK/MVU-Eval</t>
  </si>
  <si>
    <t xml:space="preserve">2025-11-11</t>
  </si>
  <si>
    <t xml:space="preserve">2512.13604</t>
  </si>
  <si>
    <t xml:space="preserve">LongVie 2</t>
  </si>
  <si>
    <t xml:space="preserve">https://arxiv.org/abs/2512.13604</t>
  </si>
  <si>
    <t xml:space="preserve">https://github.com/Vchitect/LongVie</t>
  </si>
  <si>
    <t xml:space="preserve">2026-01-25</t>
  </si>
  <si>
    <t xml:space="preserve">2511.01678</t>
  </si>
  <si>
    <t xml:space="preserve">UniLumos</t>
  </si>
  <si>
    <t xml:space="preserve">https://arxiv.org/abs/2511.01678</t>
  </si>
  <si>
    <t xml:space="preserve">https://github.com/alibaba-damo-academy/Lumos-Custom</t>
  </si>
  <si>
    <t xml:space="preserve">2026-06-29</t>
  </si>
  <si>
    <t xml:space="preserve">2510.11696</t>
  </si>
  <si>
    <t xml:space="preserve">QeRL: Quantization-enhanced Reinforcement Learning for LLMs</t>
  </si>
  <si>
    <t xml:space="preserve">https://arxiv.org/abs/2510.11696</t>
  </si>
  <si>
    <t xml:space="preserve">https://github.com/NVlabs/QeRL</t>
  </si>
  <si>
    <t xml:space="preserve">2026-03-30</t>
  </si>
  <si>
    <t xml:space="preserve">2510.23052</t>
  </si>
  <si>
    <t xml:space="preserve">Knocking-Heads Attention</t>
  </si>
  <si>
    <t xml:space="preserve">https://arxiv.org/abs/2510.23052</t>
  </si>
  <si>
    <t xml:space="preserve">2510.11652</t>
  </si>
  <si>
    <t xml:space="preserve">ACADREASON</t>
  </si>
  <si>
    <t xml:space="preserve">https://arxiv.org/abs/2510.11652</t>
  </si>
  <si>
    <t xml:space="preserve">https://github.com/OPPO-PersonalAI/Acadreason-benchmark</t>
  </si>
  <si>
    <t xml:space="preserve">2025-10-20</t>
  </si>
  <si>
    <t xml:space="preserve">2512.09636</t>
  </si>
  <si>
    <t xml:space="preserve">MentraSuite</t>
  </si>
  <si>
    <t xml:space="preserve">https://arxiv.org/abs/2512.09636</t>
  </si>
  <si>
    <t xml:space="preserve">https://github.com/elsa66666/MentraSuite</t>
  </si>
  <si>
    <t xml:space="preserve">2511.17803</t>
  </si>
  <si>
    <t xml:space="preserve">Pillar-0</t>
  </si>
  <si>
    <t xml:space="preserve">https://arxiv.org/abs/2511.17803</t>
  </si>
  <si>
    <t xml:space="preserve">https://github.com/YalaLab/pillar-pretrain</t>
  </si>
  <si>
    <t xml:space="preserve">2025-11-20</t>
  </si>
  <si>
    <t xml:space="preserve">臂</t>
  </si>
  <si>
    <t xml:space="preserve">达到 RL</t>
  </si>
  <si>
    <r>
      <rPr>
        <b val="true"/>
        <sz val="10"/>
        <color rgb="FFFFFFFF"/>
        <rFont val="Arial"/>
        <family val="0"/>
        <charset val="1"/>
      </rPr>
      <t xml:space="preserve">RL </t>
    </r>
    <r>
      <rPr>
        <b val="true"/>
        <sz val="10"/>
        <color rgb="FFFFFFFF"/>
        <rFont val="Noto Sans CJK SC"/>
        <family val="2"/>
      </rPr>
      <t xml:space="preserve">数值</t>
    </r>
  </si>
  <si>
    <t xml:space="preserve">耗时(分钟)</t>
  </si>
  <si>
    <t xml:space="preserve">时间盒用尽</t>
  </si>
  <si>
    <t xml:space="preserve">步骤0 已做</t>
  </si>
  <si>
    <t xml:space="preserve">实测标准差</t>
  </si>
  <si>
    <t xml:space="preserve">采用容差</t>
  </si>
  <si>
    <t xml:space="preserve">失败码1</t>
  </si>
  <si>
    <t xml:space="preserve">失败码2</t>
  </si>
  <si>
    <t xml:space="preserve">失败码3</t>
  </si>
  <si>
    <t xml:space="preserve">卡住的那一步(一句话)</t>
  </si>
  <si>
    <t xml:space="preserve">环境摘要</t>
  </si>
  <si>
    <r>
      <rPr>
        <b val="true"/>
        <sz val="10"/>
        <color rgb="FFFFFFFF"/>
        <rFont val="Arial"/>
        <family val="0"/>
        <charset val="1"/>
      </rPr>
      <t xml:space="preserve">A</t>
    </r>
    <r>
      <rPr>
        <b val="true"/>
        <sz val="10"/>
        <color rgb="FFFFFFFF"/>
        <rFont val="Noto Sans CJK SC"/>
        <family val="2"/>
      </rPr>
      <t xml:space="preserve">臂耗时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辅助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</si>
  <si>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A</t>
  </si>
  <si>
    <t xml:space="preserve">RL1</t>
  </si>
  <si>
    <t xml:space="preserve">NUMBERS_DIVERGE</t>
  </si>
  <si>
    <t xml:space="preserve">主表用了未在论文中说明的数据增强</t>
  </si>
  <si>
    <t xml:space="preserve">sha256:9f2c… / cu12.4</t>
  </si>
  <si>
    <t xml:space="preserve">RL0</t>
  </si>
  <si>
    <t xml:space="preserve">DEPENDENCY_UNRESOLVABLE</t>
  </si>
  <si>
    <t xml:space="preserve">no dependency specification of any kind; the environment cannot be reconstructed from the repository alone</t>
  </si>
  <si>
    <t xml:space="preserve">0bcebdf060a0</t>
  </si>
  <si>
    <t xml:space="preserve">NO_CODE</t>
  </si>
  <si>
    <t xml:space="preserve">the paper announced no public repository</t>
  </si>
  <si>
    <t xml:space="preserve">dependency spec is not pip-resolvable in this environment</t>
  </si>
  <si>
    <t xml:space="preserve">62855d4b2580</t>
  </si>
  <si>
    <t xml:space="preserve">declared dependencies do not resolve; the environment cannot be built, so the entry point was never reachable</t>
  </si>
  <si>
    <t xml:space="preserve">c0584890058b</t>
  </si>
  <si>
    <t xml:space="preserve">CONFIG_AMBIGUOUS</t>
  </si>
  <si>
    <t xml:space="preserve">dcd88eb4c4a4</t>
  </si>
  <si>
    <t xml:space="preserve">0dcd0980eac6</t>
  </si>
  <si>
    <t xml:space="preserve">a23c54b83565</t>
  </si>
  <si>
    <t xml:space="preserve">0d0478832564</t>
  </si>
  <si>
    <t xml:space="preserve">6f18a7aedfdc</t>
  </si>
  <si>
    <t xml:space="preserve">33e9e48b2a69</t>
  </si>
  <si>
    <t xml:space="preserve">a5937adea78e</t>
  </si>
  <si>
    <t xml:space="preserve">HARDWARE_UNAVAILABLE</t>
  </si>
  <si>
    <t xml:space="preserve">dependencies resolve, so the environment is constructible — but the entry point was not executed (no GPU, no dataset egress). This is RL0 by the protocol's definition: 'not reprodu</t>
  </si>
  <si>
    <t xml:space="preserve">8740d2ee0724</t>
  </si>
  <si>
    <t xml:space="preserve">cb3e40916c8b</t>
  </si>
  <si>
    <t xml:space="preserve">31e86dba3da3</t>
  </si>
  <si>
    <t xml:space="preserve">DATA_UNAVAILABLE</t>
  </si>
  <si>
    <t xml:space="preserve">829a311174b8</t>
  </si>
  <si>
    <t xml:space="preserve">e1619fdf51af</t>
  </si>
  <si>
    <t xml:space="preserve">ab06083ac0d3</t>
  </si>
  <si>
    <t xml:space="preserve">claim_id</t>
  </si>
  <si>
    <t xml:space="preserve">论文中位置 locator</t>
  </si>
  <si>
    <t xml:space="preserve">指标</t>
  </si>
  <si>
    <t xml:space="preserve">论文报告值</t>
  </si>
  <si>
    <t xml:space="preserve">本地实测值</t>
  </si>
  <si>
    <t xml:space="preserve">相对偏差</t>
  </si>
  <si>
    <t xml:space="preserve">判定</t>
  </si>
  <si>
    <t xml:space="preserve">run_id</t>
  </si>
  <si>
    <t xml:space="preserve">C-01</t>
  </si>
  <si>
    <t xml:space="preserve">Table 2, row 3, col GLUE-avg</t>
  </si>
  <si>
    <t xml:space="preserve">accuracy</t>
  </si>
  <si>
    <t xml:space="preserve">run-0042-a-03</t>
  </si>
  <si>
    <t xml:space="preserve">结果（全部为公式，勿手改）</t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</si>
  <si>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臂 </t>
    </r>
    <r>
      <rPr>
        <sz val="10"/>
        <rFont val="Arial"/>
        <family val="0"/>
        <charset val="1"/>
      </rPr>
      <t xml:space="preserve">= agent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臂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人类。区间为 </t>
    </r>
    <r>
      <rPr>
        <sz val="10"/>
        <rFont val="Arial"/>
        <family val="0"/>
        <charset val="1"/>
      </rPr>
      <t xml:space="preserve">Wilson 95%</t>
    </r>
    <r>
      <rPr>
        <sz val="10"/>
        <rFont val="Noto Sans CJK SC"/>
        <family val="2"/>
      </rPr>
      <t xml:space="preserve">（小样本比例下不要用正态近似）。</t>
    </r>
  </si>
  <si>
    <r>
      <rPr>
        <b val="true"/>
        <sz val="10"/>
        <rFont val="Arial"/>
        <family val="0"/>
        <charset val="1"/>
      </rPr>
      <t xml:space="preserve">RL </t>
    </r>
    <r>
      <rPr>
        <b val="true"/>
        <sz val="10"/>
        <rFont val="Noto Sans CJK SC"/>
        <family val="2"/>
      </rPr>
      <t xml:space="preserve">分布</t>
    </r>
  </si>
  <si>
    <r>
      <rPr>
        <b val="true"/>
        <sz val="10"/>
        <color rgb="FFFFFFFF"/>
        <rFont val="Arial"/>
        <family val="0"/>
        <charset val="1"/>
      </rPr>
      <t xml:space="preserve">A </t>
    </r>
    <r>
      <rPr>
        <b val="true"/>
        <sz val="10"/>
        <color rgb="FFFFFFFF"/>
        <rFont val="Noto Sans CJK SC"/>
        <family val="2"/>
      </rPr>
      <t xml:space="preserve">臂 计数</t>
    </r>
  </si>
  <si>
    <r>
      <rPr>
        <b val="true"/>
        <sz val="10"/>
        <color rgb="FFFFFFFF"/>
        <rFont val="Arial"/>
        <family val="0"/>
        <charset val="1"/>
      </rPr>
      <t xml:space="preserve">A </t>
    </r>
    <r>
      <rPr>
        <b val="true"/>
        <sz val="10"/>
        <color rgb="FFFFFFFF"/>
        <rFont val="Noto Sans CJK SC"/>
        <family val="2"/>
      </rPr>
      <t xml:space="preserve">臂 占比</t>
    </r>
  </si>
  <si>
    <r>
      <rPr>
        <b val="true"/>
        <sz val="10"/>
        <color rgb="FFFFFFFF"/>
        <rFont val="Arial"/>
        <family val="0"/>
        <charset val="1"/>
      </rPr>
      <t xml:space="preserve">B </t>
    </r>
    <r>
      <rPr>
        <b val="true"/>
        <sz val="10"/>
        <color rgb="FFFFFFFF"/>
        <rFont val="Noto Sans CJK SC"/>
        <family val="2"/>
      </rPr>
      <t xml:space="preserve">臂 计数</t>
    </r>
  </si>
  <si>
    <r>
      <rPr>
        <b val="true"/>
        <sz val="10"/>
        <color rgb="FFFFFFFF"/>
        <rFont val="Arial"/>
        <family val="0"/>
        <charset val="1"/>
      </rPr>
      <t xml:space="preserve">B </t>
    </r>
    <r>
      <rPr>
        <b val="true"/>
        <sz val="10"/>
        <color rgb="FFFFFFFF"/>
        <rFont val="Noto Sans CJK SC"/>
        <family val="2"/>
      </rPr>
      <t xml:space="preserve">臂 占比</t>
    </r>
  </si>
  <si>
    <t xml:space="preserve">RL2</t>
  </si>
  <si>
    <t xml:space="preserve">RL3</t>
  </si>
  <si>
    <t xml:space="preserve">RL4</t>
  </si>
  <si>
    <t xml:space="preserve">合计 n</t>
  </si>
  <si>
    <t xml:space="preserve">关键比例与 Wilson 95% 区间</t>
  </si>
  <si>
    <t xml:space="preserve">点估计</t>
  </si>
  <si>
    <t xml:space="preserve">下限</t>
  </si>
  <si>
    <t xml:space="preserve">上限</t>
  </si>
  <si>
    <t xml:space="preserve">n</t>
  </si>
  <si>
    <t xml:space="preserve">解读</t>
  </si>
  <si>
    <r>
      <rPr>
        <sz val="10"/>
        <rFont val="Arial"/>
        <family val="0"/>
        <charset val="1"/>
      </rPr>
      <t xml:space="preserve">P(RL&gt;=3)  A </t>
    </r>
    <r>
      <rPr>
        <sz val="10"/>
        <rFont val="Noto Sans CJK SC"/>
        <family val="2"/>
      </rPr>
      <t xml:space="preserve">臂</t>
    </r>
  </si>
  <si>
    <t xml:space="preserve">决定 CM_MEASURED 能覆盖多少项目。阈值见 参数 Params B11:B13。</t>
  </si>
  <si>
    <r>
      <rPr>
        <sz val="10"/>
        <rFont val="Arial"/>
        <family val="0"/>
        <charset val="1"/>
      </rPr>
      <t xml:space="preserve">P(RL&gt;=1)  A </t>
    </r>
    <r>
      <rPr>
        <sz val="10"/>
        <rFont val="Noto Sans CJK SC"/>
        <family val="2"/>
      </rPr>
      <t xml:space="preserve">臂</t>
    </r>
  </si>
  <si>
    <t xml:space="preserve">决定整个执行平面是否值得建。低于 40% 就不该建。</t>
  </si>
  <si>
    <r>
      <rPr>
        <sz val="10"/>
        <rFont val="Arial"/>
        <family val="0"/>
        <charset val="1"/>
      </rPr>
      <t xml:space="preserve">P(RL&gt;=3)  B </t>
    </r>
    <r>
      <rPr>
        <sz val="10"/>
        <rFont val="Noto Sans CJK SC"/>
        <family val="2"/>
      </rPr>
      <t xml:space="preserve">臂（人类天花板）</t>
    </r>
  </si>
  <si>
    <t xml:space="preserve">与 A 臂之差 = agent 工程差距。差距大说明该投工程，不是改架构。</t>
  </si>
  <si>
    <r>
      <rPr>
        <sz val="10"/>
        <rFont val="Arial"/>
        <family val="0"/>
        <charset val="1"/>
      </rPr>
      <t xml:space="preserve">P(RL&gt;=1)  B </t>
    </r>
    <r>
      <rPr>
        <sz val="10"/>
        <rFont val="Noto Sans CJK SC"/>
        <family val="2"/>
      </rPr>
      <t xml:space="preserve">臂</t>
    </r>
  </si>
  <si>
    <t xml:space="preserve">耗时（分钟）</t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</si>
  <si>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臂中位耗时</t>
    </r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</si>
  <si>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臂时间盒用尽篇数</t>
    </r>
  </si>
  <si>
    <t xml:space="preserve">用尽时间盒的样本，其 RL 是下界而非真值 —— 报告时必须分开说。</t>
  </si>
  <si>
    <t xml:space="preserve">决策（自动判定，规则在开跑前已冻结）</t>
  </si>
  <si>
    <r>
      <rPr>
        <sz val="10"/>
        <rFont val="Arial"/>
        <family val="0"/>
        <charset val="1"/>
      </rPr>
      <t xml:space="preserve">agent </t>
    </r>
    <r>
      <rPr>
        <sz val="10"/>
        <rFont val="Noto Sans CJK SC"/>
        <family val="2"/>
      </rPr>
      <t xml:space="preserve">差距（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臂 − 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臂，</t>
    </r>
    <r>
      <rPr>
        <sz val="10"/>
        <rFont val="Arial"/>
        <family val="0"/>
        <charset val="1"/>
      </rPr>
      <t xml:space="preserve">P(RL&gt;=3)</t>
    </r>
    <r>
      <rPr>
        <sz val="10"/>
        <rFont val="Noto Sans CJK SC"/>
        <family val="2"/>
      </rPr>
      <t xml:space="preserve">）</t>
    </r>
  </si>
  <si>
    <t xml:space="preserve">差距大 → 投入依赖求解/环境修复/日志诊断；差距小 → 问题在论文本身，靠降级路径。</t>
  </si>
  <si>
    <t xml:space="preserve">失败码</t>
  </si>
  <si>
    <r>
      <rPr>
        <b val="true"/>
        <sz val="10"/>
        <color rgb="FFFFFFFF"/>
        <rFont val="Arial"/>
        <family val="0"/>
        <charset val="1"/>
      </rPr>
      <t xml:space="preserve">A </t>
    </r>
    <r>
      <rPr>
        <b val="true"/>
        <sz val="10"/>
        <color rgb="FFFFFFFF"/>
        <rFont val="Noto Sans CJK SC"/>
        <family val="2"/>
      </rPr>
      <t xml:space="preserve">臂出现次数</t>
    </r>
  </si>
  <si>
    <r>
      <rPr>
        <b val="true"/>
        <sz val="10"/>
        <color rgb="FFFFFFFF"/>
        <rFont val="Arial"/>
        <family val="0"/>
        <charset val="1"/>
      </rPr>
      <t xml:space="preserve">B </t>
    </r>
    <r>
      <rPr>
        <b val="true"/>
        <sz val="10"/>
        <color rgb="FFFFFFFF"/>
        <rFont val="Noto Sans CJK SC"/>
        <family val="2"/>
      </rPr>
      <t xml:space="preserve">臂出现次数</t>
    </r>
  </si>
  <si>
    <r>
      <rPr>
        <b val="true"/>
        <sz val="10"/>
        <color rgb="FFFFFFFF"/>
        <rFont val="Arial"/>
        <family val="0"/>
        <charset val="1"/>
      </rPr>
      <t xml:space="preserve">A </t>
    </r>
    <r>
      <rPr>
        <b val="true"/>
        <sz val="10"/>
        <color rgb="FFFFFFFF"/>
        <rFont val="Noto Sans CJK SC"/>
        <family val="2"/>
      </rPr>
      <t xml:space="preserve">臂占比</t>
    </r>
  </si>
  <si>
    <t xml:space="preserve">工程含义</t>
  </si>
  <si>
    <t xml:space="preserve">无代码可用 —— 只能靠降级路径，工程上无解</t>
  </si>
  <si>
    <t xml:space="preserve">可工程化：依赖求解器 + 历史版本镜像缓存</t>
  </si>
  <si>
    <t xml:space="preserve">可工程化：租用策略 / 缩小设置自动降级</t>
  </si>
  <si>
    <t xml:space="preserve">部分可工程化：镜像源、社区副本</t>
  </si>
  <si>
    <t xml:space="preserve">DATA_ACCESS_GATED</t>
  </si>
  <si>
    <t xml:space="preserve">流程问题：需要申请通道，不是代码问题</t>
  </si>
  <si>
    <t xml:space="preserve">CHECKPOINT_MISSING</t>
  </si>
  <si>
    <t xml:space="preserve">可工程化：权重镜像发现 + 作者联系模板</t>
  </si>
  <si>
    <t xml:space="preserve">UNDOCUMENTED_PREPROCESSING</t>
  </si>
  <si>
    <t xml:space="preserve">工程无解 —— 沙箱救不了，需要信息通道</t>
  </si>
  <si>
    <t xml:space="preserve">部分可工程化：配置搜索 + 敏感性分析</t>
  </si>
  <si>
    <t xml:space="preserve">NONDETERMINISM</t>
  </si>
  <si>
    <t xml:space="preserve">不是失败：应由步骤 0 的方差探测吸收，若频繁出现说明容差定得太紧</t>
  </si>
  <si>
    <t xml:space="preserve">METRIC_DEFINITION_MISMATCH</t>
  </si>
  <si>
    <t xml:space="preserve">高价值信号：指标定义歧义本身可以是一个研究方向</t>
  </si>
  <si>
    <t xml:space="preserve">核心信号：代码跑通但数字对不上，正是 RL1 与 RL3 之间的鸿沟</t>
  </si>
  <si>
    <t xml:space="preserve">TIMEBOX_EXCEEDED</t>
  </si>
  <si>
    <t xml:space="preserve">调参信号：若占比高，说明时间盒设得太短，RL 分布被低估</t>
  </si>
  <si>
    <t xml:space="preserve">LICENSE_BLOCKED</t>
  </si>
  <si>
    <t xml:space="preserve">法务问题，不是工程问题</t>
  </si>
  <si>
    <t xml:space="preserve">合计</t>
  </si>
  <si>
    <t xml:space="preserve">失败码分布比成功率更有工程价值 —— 它直接决定 Batch 04 该先建什么。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</si>
</sst>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General"/>
    <numFmt numFmtId="167" formatCode="0.0000"/>
    <numFmt numFmtId="168" formatCode="0.0%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C00000"/>
      <name val="Noto Sans CJK SC"/>
      <family val="2"/>
    </font>
    <font>
      <b val="true"/>
      <sz val="13"/>
      <color rgb="FFC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C00000"/>
      <name val="Noto Sans CJK SC"/>
      <family val="2"/>
    </font>
    <font>
      <sz val="11"/>
      <color rgb="FF000000"/>
      <name val="Noto Sans CJK SC"/>
      <family val="2"/>
    </font>
    <font>
      <b val="true"/>
      <sz val="11"/>
      <color rgb="FFC0000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  <charset val="1"/>
    </font>
    <font>
      <sz val="10"/>
      <name val="Noto Sans CJK SC"/>
      <family val="2"/>
    </font>
    <font>
      <b val="true"/>
      <sz val="10"/>
      <color rgb="FFFFFFFF"/>
      <name val="Noto Sans CJK SC"/>
      <family val="2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i val="true"/>
      <sz val="10"/>
      <color rgb="FF808080"/>
      <name val="Arial"/>
      <family val="0"/>
      <charset val="1"/>
    </font>
    <font>
      <i val="true"/>
      <sz val="10"/>
      <color rgb="FF808080"/>
      <name val="Noto Sans CJK SC"/>
      <family val="2"/>
    </font>
    <font>
      <i val="true"/>
      <sz val="10"/>
      <color rgb="FF808080"/>
      <name val="Noto Sans CJK SC"/>
      <family val="2"/>
      <charset val="1"/>
    </font>
    <font>
      <sz val="10"/>
      <color rgb="FF0000FF"/>
      <name val="Noto Sans CJK SC"/>
      <family val="2"/>
    </font>
    <font>
      <b val="true"/>
      <sz val="13"/>
      <name val="Noto Sans CJK SC"/>
      <family val="2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Noto Sans CJK SC"/>
      <family val="2"/>
      <charset val="1"/>
    </font>
    <font>
      <b val="true"/>
      <sz val="11"/>
      <color rgb="FFC00000"/>
      <name val="Noto Sans CJK SC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7.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7.15" hidden="false" customHeight="false" outlineLevel="0" collapsed="false">
      <c r="A5" s="4" t="s">
        <v>2</v>
      </c>
    </row>
    <row r="6" customFormat="false" ht="17.15" hidden="false" customHeight="false" outlineLevel="0" collapsed="false">
      <c r="A6" s="2" t="s">
        <v>3</v>
      </c>
    </row>
    <row r="7" customFormat="false" ht="17.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/>
    </row>
    <row r="9" customFormat="false" ht="17.15" hidden="false" customHeight="false" outlineLevel="0" collapsed="false">
      <c r="A9" s="4" t="s">
        <v>5</v>
      </c>
    </row>
    <row r="10" customFormat="false" ht="17.15" hidden="false" customHeight="false" outlineLevel="0" collapsed="false">
      <c r="A10" s="4" t="s">
        <v>6</v>
      </c>
    </row>
    <row r="11" customFormat="false" ht="17.15" hidden="false" customHeight="false" outlineLevel="0" collapsed="false">
      <c r="A11" s="4" t="s">
        <v>7</v>
      </c>
    </row>
    <row r="12" customFormat="false" ht="15" hidden="false" customHeight="false" outlineLevel="0" collapsed="false">
      <c r="A12" s="2"/>
    </row>
    <row r="13" customFormat="false" ht="17.15" hidden="false" customHeight="false" outlineLevel="0" collapsed="false">
      <c r="A13" s="3" t="s">
        <v>8</v>
      </c>
    </row>
    <row r="14" customFormat="false" ht="17.15" hidden="false" customHeight="false" outlineLevel="0" collapsed="false">
      <c r="A14" s="2" t="s">
        <v>9</v>
      </c>
    </row>
    <row r="15" customFormat="false" ht="17.15" hidden="false" customHeight="false" outlineLevel="0" collapsed="false">
      <c r="A15" s="2" t="s">
        <v>10</v>
      </c>
    </row>
    <row r="16" customFormat="false" ht="17.15" hidden="false" customHeight="false" outlineLevel="0" collapsed="false">
      <c r="A16" s="2" t="s">
        <v>11</v>
      </c>
    </row>
    <row r="17" customFormat="false" ht="17.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/>
    </row>
    <row r="19" customFormat="false" ht="17.15" hidden="false" customHeight="false" outlineLevel="0" collapsed="false">
      <c r="A19" s="3" t="s">
        <v>13</v>
      </c>
    </row>
    <row r="20" customFormat="false" ht="17.15" hidden="false" customHeight="false" outlineLevel="0" collapsed="false">
      <c r="A20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26"/>
    <col collapsed="false" customWidth="true" hidden="false" outlineLevel="0" max="2" min="2" style="5" width="104"/>
  </cols>
  <sheetData>
    <row r="1" customFormat="false" ht="21" hidden="false" customHeight="true" outlineLevel="0" collapsed="false">
      <c r="A1" s="6" t="s">
        <v>15</v>
      </c>
      <c r="B1" s="7"/>
    </row>
    <row r="2" customFormat="false" ht="15" hidden="false" customHeight="true" outlineLevel="0" collapsed="false">
      <c r="A2" s="8"/>
      <c r="B2" s="7"/>
    </row>
    <row r="3" customFormat="false" ht="15" hidden="false" customHeight="true" outlineLevel="0" collapsed="false">
      <c r="A3" s="9" t="s">
        <v>16</v>
      </c>
      <c r="B3" s="7" t="s">
        <v>17</v>
      </c>
    </row>
    <row r="4" customFormat="false" ht="15" hidden="false" customHeight="true" outlineLevel="0" collapsed="false">
      <c r="A4" s="8"/>
      <c r="B4" s="7"/>
    </row>
    <row r="5" customFormat="false" ht="15" hidden="false" customHeight="true" outlineLevel="0" collapsed="false">
      <c r="A5" s="9" t="s">
        <v>18</v>
      </c>
      <c r="B5" s="10" t="s">
        <v>19</v>
      </c>
    </row>
    <row r="6" customFormat="false" ht="29.25" hidden="false" customHeight="true" outlineLevel="0" collapsed="false">
      <c r="A6" s="9" t="s">
        <v>20</v>
      </c>
      <c r="B6" s="7" t="s">
        <v>21</v>
      </c>
    </row>
    <row r="7" customFormat="false" ht="15" hidden="false" customHeight="true" outlineLevel="0" collapsed="false">
      <c r="A7" s="8"/>
      <c r="B7" s="7"/>
    </row>
    <row r="8" customFormat="false" ht="15" hidden="false" customHeight="true" outlineLevel="0" collapsed="false">
      <c r="A8" s="9" t="s">
        <v>22</v>
      </c>
      <c r="B8" s="10" t="s">
        <v>23</v>
      </c>
    </row>
    <row r="9" customFormat="false" ht="15" hidden="false" customHeight="true" outlineLevel="0" collapsed="false">
      <c r="A9" s="8"/>
      <c r="B9" s="10" t="s">
        <v>24</v>
      </c>
    </row>
    <row r="10" customFormat="false" ht="15" hidden="false" customHeight="true" outlineLevel="0" collapsed="false">
      <c r="A10" s="8"/>
      <c r="B10" s="7"/>
    </row>
    <row r="11" customFormat="false" ht="15" hidden="false" customHeight="true" outlineLevel="0" collapsed="false">
      <c r="A11" s="9" t="s">
        <v>25</v>
      </c>
      <c r="B11" s="10" t="s">
        <v>26</v>
      </c>
    </row>
    <row r="12" customFormat="false" ht="15" hidden="false" customHeight="true" outlineLevel="0" collapsed="false">
      <c r="A12" s="8"/>
      <c r="B12" s="10" t="s">
        <v>27</v>
      </c>
    </row>
    <row r="13" customFormat="false" ht="15" hidden="false" customHeight="true" outlineLevel="0" collapsed="false">
      <c r="A13" s="8"/>
      <c r="B13" s="7"/>
    </row>
    <row r="14" customFormat="false" ht="15" hidden="false" customHeight="true" outlineLevel="0" collapsed="false">
      <c r="A14" s="8" t="s">
        <v>28</v>
      </c>
      <c r="B14" s="7" t="s">
        <v>29</v>
      </c>
    </row>
    <row r="15" customFormat="false" ht="15" hidden="false" customHeight="true" outlineLevel="0" collapsed="false">
      <c r="A15" s="8"/>
      <c r="B15" s="10" t="s">
        <v>30</v>
      </c>
    </row>
    <row r="16" customFormat="false" ht="15" hidden="false" customHeight="true" outlineLevel="0" collapsed="false">
      <c r="A16" s="8"/>
      <c r="B16" s="7"/>
    </row>
    <row r="17" customFormat="false" ht="15" hidden="false" customHeight="true" outlineLevel="0" collapsed="false">
      <c r="A17" s="9" t="s">
        <v>31</v>
      </c>
      <c r="B17" s="7" t="s">
        <v>32</v>
      </c>
    </row>
    <row r="18" customFormat="false" ht="15" hidden="false" customHeight="true" outlineLevel="0" collapsed="false">
      <c r="A18" s="8"/>
      <c r="B18" s="7" t="s">
        <v>33</v>
      </c>
    </row>
    <row r="19" customFormat="false" ht="15" hidden="false" customHeight="true" outlineLevel="0" collapsed="false">
      <c r="A19" s="8"/>
      <c r="B19" s="7"/>
    </row>
    <row r="20" customFormat="false" ht="15" hidden="false" customHeight="true" outlineLevel="0" collapsed="false">
      <c r="A20" s="9" t="s">
        <v>34</v>
      </c>
      <c r="B20" s="7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34"/>
    <col collapsed="false" customWidth="true" hidden="false" outlineLevel="0" max="2" min="2" style="5" width="18"/>
    <col collapsed="false" customWidth="true" hidden="false" outlineLevel="0" max="3" min="3" style="5" width="20"/>
    <col collapsed="false" customWidth="true" hidden="false" outlineLevel="0" max="4" min="4" style="5" width="70"/>
  </cols>
  <sheetData>
    <row r="1" customFormat="false" ht="30" hidden="false" customHeight="true" outlineLevel="0" collapsed="false">
      <c r="A1" s="11" t="s">
        <v>36</v>
      </c>
      <c r="B1" s="11" t="s">
        <v>37</v>
      </c>
      <c r="C1" s="11" t="s">
        <v>38</v>
      </c>
      <c r="D1" s="11" t="s">
        <v>39</v>
      </c>
    </row>
    <row r="2" customFormat="false" ht="15" hidden="false" customHeight="true" outlineLevel="0" collapsed="false">
      <c r="A2" s="12" t="s">
        <v>40</v>
      </c>
      <c r="B2" s="13" t="n">
        <v>4</v>
      </c>
      <c r="C2" s="14" t="s">
        <v>41</v>
      </c>
      <c r="D2" s="15" t="s">
        <v>42</v>
      </c>
    </row>
    <row r="3" customFormat="false" ht="15" hidden="false" customHeight="true" outlineLevel="0" collapsed="false">
      <c r="A3" s="12" t="s">
        <v>43</v>
      </c>
      <c r="B3" s="13" t="n">
        <v>8</v>
      </c>
      <c r="C3" s="14" t="s">
        <v>41</v>
      </c>
      <c r="D3" s="15" t="s">
        <v>44</v>
      </c>
    </row>
    <row r="4" customFormat="false" ht="15" hidden="false" customHeight="true" outlineLevel="0" collapsed="false">
      <c r="A4" s="14" t="s">
        <v>45</v>
      </c>
      <c r="B4" s="13" t="n">
        <v>20</v>
      </c>
      <c r="C4" s="14" t="s">
        <v>46</v>
      </c>
      <c r="D4" s="16" t="s">
        <v>47</v>
      </c>
    </row>
    <row r="5" customFormat="false" ht="15" hidden="false" customHeight="true" outlineLevel="0" collapsed="false">
      <c r="A5" s="12" t="s">
        <v>48</v>
      </c>
      <c r="B5" s="13" t="n">
        <v>8</v>
      </c>
      <c r="C5" s="14" t="s">
        <v>46</v>
      </c>
      <c r="D5" s="16" t="s">
        <v>49</v>
      </c>
    </row>
    <row r="6" customFormat="false" ht="15" hidden="false" customHeight="true" outlineLevel="0" collapsed="false">
      <c r="A6" s="14" t="s">
        <v>50</v>
      </c>
      <c r="B6" s="13" t="n">
        <v>20260811</v>
      </c>
      <c r="C6" s="14" t="s">
        <v>51</v>
      </c>
      <c r="D6" s="15" t="s">
        <v>52</v>
      </c>
    </row>
    <row r="7" customFormat="false" ht="15" hidden="false" customHeight="true" outlineLevel="0" collapsed="false">
      <c r="A7" s="14" t="s">
        <v>53</v>
      </c>
      <c r="B7" s="13" t="n">
        <v>3</v>
      </c>
      <c r="C7" s="14" t="s">
        <v>54</v>
      </c>
      <c r="D7" s="15" t="s">
        <v>55</v>
      </c>
    </row>
    <row r="8" customFormat="false" ht="15" hidden="false" customHeight="true" outlineLevel="0" collapsed="false">
      <c r="A8" s="14" t="s">
        <v>56</v>
      </c>
      <c r="B8" s="17" t="n">
        <v>0.02</v>
      </c>
      <c r="C8" s="14" t="s">
        <v>57</v>
      </c>
      <c r="D8" s="15" t="s">
        <v>58</v>
      </c>
    </row>
    <row r="9" customFormat="false" ht="15" hidden="false" customHeight="true" outlineLevel="0" collapsed="false">
      <c r="A9" s="14" t="s">
        <v>59</v>
      </c>
      <c r="B9" s="13" t="n">
        <v>2</v>
      </c>
      <c r="C9" s="12" t="s">
        <v>60</v>
      </c>
      <c r="D9" s="15" t="s">
        <v>61</v>
      </c>
    </row>
    <row r="10" customFormat="false" ht="15" hidden="false" customHeight="true" outlineLevel="0" collapsed="false">
      <c r="A10" s="12" t="s">
        <v>62</v>
      </c>
      <c r="B10" s="13" t="n">
        <v>1.96</v>
      </c>
      <c r="C10" s="12" t="s">
        <v>63</v>
      </c>
      <c r="D10" s="16" t="s">
        <v>64</v>
      </c>
    </row>
    <row r="11" customFormat="false" ht="15" hidden="false" customHeight="true" outlineLevel="0" collapsed="false">
      <c r="A11" s="14" t="s">
        <v>65</v>
      </c>
      <c r="B11" s="17" t="n">
        <v>0.3</v>
      </c>
      <c r="C11" s="14" t="s">
        <v>57</v>
      </c>
      <c r="D11" s="15" t="s">
        <v>66</v>
      </c>
    </row>
    <row r="12" customFormat="false" ht="15" hidden="false" customHeight="true" outlineLevel="0" collapsed="false">
      <c r="A12" s="14" t="s">
        <v>67</v>
      </c>
      <c r="B12" s="17" t="n">
        <v>0.15</v>
      </c>
      <c r="C12" s="14" t="s">
        <v>57</v>
      </c>
      <c r="D12" s="15" t="s">
        <v>68</v>
      </c>
    </row>
    <row r="13" customFormat="false" ht="15" hidden="false" customHeight="true" outlineLevel="0" collapsed="false">
      <c r="A13" s="14" t="s">
        <v>69</v>
      </c>
      <c r="B13" s="17" t="n">
        <v>0.4</v>
      </c>
      <c r="C13" s="14" t="s">
        <v>57</v>
      </c>
      <c r="D13" s="15" t="s">
        <v>70</v>
      </c>
    </row>
    <row r="14" customFormat="false" ht="15" hidden="false" customHeight="true" outlineLevel="0" collapsed="false">
      <c r="A14" s="14" t="s">
        <v>71</v>
      </c>
      <c r="B14" s="17" t="n">
        <v>0.02</v>
      </c>
      <c r="C14" s="14" t="s">
        <v>57</v>
      </c>
      <c r="D14" s="15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6"/>
    <col collapsed="false" customWidth="true" hidden="false" outlineLevel="0" max="2" min="2" style="5" width="16"/>
    <col collapsed="false" customWidth="true" hidden="false" outlineLevel="0" max="3" min="3" style="5" width="44"/>
    <col collapsed="false" customWidth="true" hidden="false" outlineLevel="0" max="5" min="4" style="5" width="30"/>
    <col collapsed="false" customWidth="true" hidden="false" outlineLevel="0" max="6" min="6" style="5" width="14"/>
    <col collapsed="false" customWidth="true" hidden="false" outlineLevel="0" max="7" min="7" style="5" width="13"/>
    <col collapsed="false" customWidth="true" hidden="false" outlineLevel="0" max="8" min="8" style="5" width="14"/>
    <col collapsed="false" customWidth="true" hidden="false" outlineLevel="0" max="9" min="9" style="5" width="10"/>
    <col collapsed="false" customWidth="true" hidden="false" outlineLevel="0" max="10" min="10" style="5" width="15"/>
    <col collapsed="false" customWidth="true" hidden="false" outlineLevel="0" max="11" min="11" style="5" width="13"/>
    <col collapsed="false" customWidth="true" hidden="false" outlineLevel="0" max="12" min="12" style="5" width="11"/>
    <col collapsed="false" customWidth="true" hidden="false" outlineLevel="0" max="13" min="13" style="5" width="34"/>
  </cols>
  <sheetData>
    <row r="1" customFormat="false" ht="30" hidden="false" customHeight="true" outlineLevel="0" collapsed="false">
      <c r="A1" s="11" t="s">
        <v>73</v>
      </c>
      <c r="B1" s="18" t="s">
        <v>74</v>
      </c>
      <c r="C1" s="11" t="s">
        <v>75</v>
      </c>
      <c r="D1" s="11" t="s">
        <v>76</v>
      </c>
      <c r="E1" s="11" t="s">
        <v>77</v>
      </c>
      <c r="F1" s="11" t="s">
        <v>78</v>
      </c>
      <c r="G1" s="11" t="s">
        <v>79</v>
      </c>
      <c r="H1" s="11" t="s">
        <v>80</v>
      </c>
      <c r="I1" s="18" t="s">
        <v>81</v>
      </c>
      <c r="J1" s="18" t="s">
        <v>82</v>
      </c>
      <c r="K1" s="11" t="s">
        <v>83</v>
      </c>
      <c r="L1" s="11" t="s">
        <v>84</v>
      </c>
      <c r="M1" s="11" t="s">
        <v>85</v>
      </c>
    </row>
    <row r="2" customFormat="false" ht="15" hidden="false" customHeight="true" outlineLevel="0" collapsed="false">
      <c r="A2" s="19" t="n">
        <v>1</v>
      </c>
      <c r="B2" s="19" t="s">
        <v>86</v>
      </c>
      <c r="C2" s="19" t="s">
        <v>87</v>
      </c>
      <c r="D2" s="19" t="s">
        <v>88</v>
      </c>
      <c r="E2" s="19" t="s">
        <v>89</v>
      </c>
      <c r="F2" s="19" t="s">
        <v>90</v>
      </c>
      <c r="G2" s="19" t="s">
        <v>91</v>
      </c>
      <c r="H2" s="19" t="s">
        <v>92</v>
      </c>
      <c r="I2" s="19" t="n">
        <v>412</v>
      </c>
      <c r="J2" s="20" t="s">
        <v>93</v>
      </c>
      <c r="K2" s="20" t="s">
        <v>93</v>
      </c>
      <c r="L2" s="20" t="s">
        <v>94</v>
      </c>
      <c r="M2" s="19"/>
    </row>
    <row r="3" customFormat="false" ht="15" hidden="false" customHeight="true" outlineLevel="0" collapsed="false">
      <c r="A3" s="8" t="n">
        <v>1</v>
      </c>
      <c r="B3" s="21" t="s">
        <v>95</v>
      </c>
      <c r="C3" s="21" t="s">
        <v>96</v>
      </c>
      <c r="D3" s="21" t="s">
        <v>97</v>
      </c>
      <c r="E3" s="21" t="s">
        <v>98</v>
      </c>
      <c r="F3" s="21" t="s">
        <v>90</v>
      </c>
      <c r="G3" s="21" t="s">
        <v>91</v>
      </c>
      <c r="H3" s="21" t="s">
        <v>99</v>
      </c>
      <c r="I3" s="21" t="n">
        <v>25</v>
      </c>
      <c r="J3" s="22" t="s">
        <v>93</v>
      </c>
      <c r="K3" s="22" t="s">
        <v>94</v>
      </c>
      <c r="L3" s="22" t="s">
        <v>94</v>
      </c>
      <c r="M3" s="21"/>
    </row>
    <row r="4" customFormat="false" ht="15" hidden="false" customHeight="true" outlineLevel="0" collapsed="false">
      <c r="A4" s="8" t="n">
        <v>2</v>
      </c>
      <c r="B4" s="21" t="s">
        <v>100</v>
      </c>
      <c r="C4" s="21" t="s">
        <v>101</v>
      </c>
      <c r="D4" s="21" t="s">
        <v>102</v>
      </c>
      <c r="E4" s="21" t="s">
        <v>103</v>
      </c>
      <c r="F4" s="21" t="s">
        <v>104</v>
      </c>
      <c r="G4" s="21" t="s">
        <v>91</v>
      </c>
      <c r="H4" s="21"/>
      <c r="I4" s="21" t="n">
        <v>0</v>
      </c>
      <c r="J4" s="22" t="s">
        <v>94</v>
      </c>
      <c r="K4" s="22" t="s">
        <v>94</v>
      </c>
      <c r="L4" s="22" t="s">
        <v>94</v>
      </c>
      <c r="M4" s="21"/>
    </row>
    <row r="5" customFormat="false" ht="15" hidden="false" customHeight="true" outlineLevel="0" collapsed="false">
      <c r="A5" s="8" t="n">
        <v>3</v>
      </c>
      <c r="B5" s="21" t="s">
        <v>105</v>
      </c>
      <c r="C5" s="21" t="s">
        <v>106</v>
      </c>
      <c r="D5" s="21" t="s">
        <v>107</v>
      </c>
      <c r="E5" s="21" t="s">
        <v>108</v>
      </c>
      <c r="F5" s="21" t="s">
        <v>90</v>
      </c>
      <c r="G5" s="21" t="s">
        <v>91</v>
      </c>
      <c r="H5" s="21" t="s">
        <v>109</v>
      </c>
      <c r="I5" s="21" t="n">
        <v>0</v>
      </c>
      <c r="J5" s="22" t="s">
        <v>93</v>
      </c>
      <c r="K5" s="22" t="s">
        <v>93</v>
      </c>
      <c r="L5" s="22" t="s">
        <v>94</v>
      </c>
      <c r="M5" s="21"/>
    </row>
    <row r="6" customFormat="false" ht="15" hidden="false" customHeight="true" outlineLevel="0" collapsed="false">
      <c r="A6" s="8" t="n">
        <v>4</v>
      </c>
      <c r="B6" s="21" t="s">
        <v>110</v>
      </c>
      <c r="C6" s="21" t="s">
        <v>111</v>
      </c>
      <c r="D6" s="21" t="s">
        <v>112</v>
      </c>
      <c r="E6" s="21" t="s">
        <v>113</v>
      </c>
      <c r="F6" s="21" t="s">
        <v>90</v>
      </c>
      <c r="G6" s="21" t="s">
        <v>91</v>
      </c>
      <c r="H6" s="21" t="s">
        <v>114</v>
      </c>
      <c r="I6" s="21" t="n">
        <v>10</v>
      </c>
      <c r="J6" s="22" t="s">
        <v>93</v>
      </c>
      <c r="K6" s="22" t="s">
        <v>93</v>
      </c>
      <c r="L6" s="22" t="s">
        <v>94</v>
      </c>
      <c r="M6" s="21"/>
    </row>
    <row r="7" customFormat="false" ht="15" hidden="false" customHeight="true" outlineLevel="0" collapsed="false">
      <c r="A7" s="8" t="n">
        <v>5</v>
      </c>
      <c r="B7" s="21" t="s">
        <v>115</v>
      </c>
      <c r="C7" s="21" t="s">
        <v>116</v>
      </c>
      <c r="D7" s="21" t="s">
        <v>117</v>
      </c>
      <c r="E7" s="21" t="s">
        <v>118</v>
      </c>
      <c r="F7" s="21" t="s">
        <v>90</v>
      </c>
      <c r="G7" s="21" t="s">
        <v>91</v>
      </c>
      <c r="H7" s="21" t="s">
        <v>119</v>
      </c>
      <c r="I7" s="21" t="n">
        <v>17</v>
      </c>
      <c r="J7" s="22" t="s">
        <v>93</v>
      </c>
      <c r="K7" s="22" t="s">
        <v>94</v>
      </c>
      <c r="L7" s="22" t="s">
        <v>94</v>
      </c>
      <c r="M7" s="21"/>
    </row>
    <row r="8" customFormat="false" ht="15" hidden="false" customHeight="true" outlineLevel="0" collapsed="false">
      <c r="A8" s="8" t="n">
        <v>6</v>
      </c>
      <c r="B8" s="21" t="s">
        <v>120</v>
      </c>
      <c r="C8" s="21" t="s">
        <v>121</v>
      </c>
      <c r="D8" s="21" t="s">
        <v>122</v>
      </c>
      <c r="E8" s="21" t="s">
        <v>103</v>
      </c>
      <c r="F8" s="21" t="s">
        <v>104</v>
      </c>
      <c r="G8" s="21" t="s">
        <v>91</v>
      </c>
      <c r="H8" s="21"/>
      <c r="I8" s="21" t="n">
        <v>0</v>
      </c>
      <c r="J8" s="22" t="s">
        <v>94</v>
      </c>
      <c r="K8" s="22" t="s">
        <v>94</v>
      </c>
      <c r="L8" s="22" t="s">
        <v>94</v>
      </c>
      <c r="M8" s="21"/>
    </row>
    <row r="9" customFormat="false" ht="15" hidden="false" customHeight="true" outlineLevel="0" collapsed="false">
      <c r="A9" s="8" t="n">
        <v>7</v>
      </c>
      <c r="B9" s="21" t="s">
        <v>123</v>
      </c>
      <c r="C9" s="21" t="s">
        <v>124</v>
      </c>
      <c r="D9" s="21" t="s">
        <v>125</v>
      </c>
      <c r="E9" s="21" t="s">
        <v>103</v>
      </c>
      <c r="F9" s="21" t="s">
        <v>104</v>
      </c>
      <c r="G9" s="21" t="s">
        <v>91</v>
      </c>
      <c r="H9" s="21"/>
      <c r="I9" s="21" t="n">
        <v>0</v>
      </c>
      <c r="J9" s="22" t="s">
        <v>94</v>
      </c>
      <c r="K9" s="22" t="s">
        <v>94</v>
      </c>
      <c r="L9" s="22" t="s">
        <v>94</v>
      </c>
      <c r="M9" s="21"/>
    </row>
    <row r="10" customFormat="false" ht="15" hidden="false" customHeight="true" outlineLevel="0" collapsed="false">
      <c r="A10" s="8" t="n">
        <v>8</v>
      </c>
      <c r="B10" s="21" t="s">
        <v>126</v>
      </c>
      <c r="C10" s="21" t="s">
        <v>127</v>
      </c>
      <c r="D10" s="21" t="s">
        <v>128</v>
      </c>
      <c r="E10" s="21" t="s">
        <v>129</v>
      </c>
      <c r="F10" s="21" t="s">
        <v>90</v>
      </c>
      <c r="G10" s="21" t="s">
        <v>91</v>
      </c>
      <c r="H10" s="21" t="s">
        <v>130</v>
      </c>
      <c r="I10" s="21" t="n">
        <v>254</v>
      </c>
      <c r="J10" s="22" t="s">
        <v>93</v>
      </c>
      <c r="K10" s="22" t="s">
        <v>93</v>
      </c>
      <c r="L10" s="22" t="s">
        <v>94</v>
      </c>
      <c r="M10" s="21"/>
    </row>
    <row r="11" customFormat="false" ht="15" hidden="false" customHeight="true" outlineLevel="0" collapsed="false">
      <c r="A11" s="8" t="n">
        <v>9</v>
      </c>
      <c r="B11" s="21" t="s">
        <v>131</v>
      </c>
      <c r="C11" s="21" t="s">
        <v>132</v>
      </c>
      <c r="D11" s="21" t="s">
        <v>133</v>
      </c>
      <c r="E11" s="21" t="s">
        <v>134</v>
      </c>
      <c r="F11" s="21" t="s">
        <v>90</v>
      </c>
      <c r="G11" s="21" t="s">
        <v>91</v>
      </c>
      <c r="H11" s="21" t="s">
        <v>135</v>
      </c>
      <c r="I11" s="21" t="n">
        <v>73</v>
      </c>
      <c r="J11" s="22" t="s">
        <v>93</v>
      </c>
      <c r="K11" s="22" t="s">
        <v>93</v>
      </c>
      <c r="L11" s="22" t="s">
        <v>94</v>
      </c>
      <c r="M11" s="21"/>
    </row>
    <row r="12" customFormat="false" ht="15" hidden="false" customHeight="true" outlineLevel="0" collapsed="false">
      <c r="A12" s="8" t="n">
        <v>10</v>
      </c>
      <c r="B12" s="21" t="s">
        <v>136</v>
      </c>
      <c r="C12" s="21" t="s">
        <v>137</v>
      </c>
      <c r="D12" s="21" t="s">
        <v>138</v>
      </c>
      <c r="E12" s="21" t="s">
        <v>139</v>
      </c>
      <c r="F12" s="21" t="s">
        <v>90</v>
      </c>
      <c r="G12" s="21" t="s">
        <v>91</v>
      </c>
      <c r="H12" s="21" t="s">
        <v>140</v>
      </c>
      <c r="I12" s="21" t="n">
        <v>220</v>
      </c>
      <c r="J12" s="22" t="s">
        <v>94</v>
      </c>
      <c r="K12" s="22" t="s">
        <v>94</v>
      </c>
      <c r="L12" s="22" t="s">
        <v>94</v>
      </c>
      <c r="M12" s="21"/>
    </row>
    <row r="13" customFormat="false" ht="15" hidden="false" customHeight="true" outlineLevel="0" collapsed="false">
      <c r="A13" s="8" t="n">
        <v>11</v>
      </c>
      <c r="B13" s="21" t="s">
        <v>141</v>
      </c>
      <c r="C13" s="21" t="s">
        <v>142</v>
      </c>
      <c r="D13" s="21" t="s">
        <v>143</v>
      </c>
      <c r="E13" s="21" t="s">
        <v>144</v>
      </c>
      <c r="F13" s="21" t="s">
        <v>90</v>
      </c>
      <c r="G13" s="21" t="s">
        <v>91</v>
      </c>
      <c r="H13" s="21" t="s">
        <v>145</v>
      </c>
      <c r="I13" s="21" t="n">
        <v>1114</v>
      </c>
      <c r="J13" s="22" t="s">
        <v>94</v>
      </c>
      <c r="K13" s="22" t="s">
        <v>94</v>
      </c>
      <c r="L13" s="22" t="s">
        <v>94</v>
      </c>
      <c r="M13" s="21"/>
    </row>
    <row r="14" customFormat="false" ht="15" hidden="false" customHeight="true" outlineLevel="0" collapsed="false">
      <c r="A14" s="8" t="n">
        <v>12</v>
      </c>
      <c r="B14" s="21" t="s">
        <v>146</v>
      </c>
      <c r="C14" s="21" t="s">
        <v>147</v>
      </c>
      <c r="D14" s="21" t="s">
        <v>148</v>
      </c>
      <c r="E14" s="21" t="s">
        <v>149</v>
      </c>
      <c r="F14" s="21" t="s">
        <v>90</v>
      </c>
      <c r="G14" s="21" t="s">
        <v>91</v>
      </c>
      <c r="H14" s="21" t="s">
        <v>150</v>
      </c>
      <c r="I14" s="21" t="n">
        <v>26</v>
      </c>
      <c r="J14" s="22" t="s">
        <v>94</v>
      </c>
      <c r="K14" s="22" t="s">
        <v>94</v>
      </c>
      <c r="L14" s="22" t="s">
        <v>94</v>
      </c>
      <c r="M14" s="21"/>
    </row>
    <row r="15" customFormat="false" ht="15" hidden="false" customHeight="true" outlineLevel="0" collapsed="false">
      <c r="A15" s="8" t="n">
        <v>13</v>
      </c>
      <c r="B15" s="21" t="s">
        <v>151</v>
      </c>
      <c r="C15" s="21" t="s">
        <v>152</v>
      </c>
      <c r="D15" s="21" t="s">
        <v>153</v>
      </c>
      <c r="E15" s="21" t="s">
        <v>154</v>
      </c>
      <c r="F15" s="21" t="s">
        <v>90</v>
      </c>
      <c r="G15" s="21" t="s">
        <v>91</v>
      </c>
      <c r="H15" s="21" t="s">
        <v>155</v>
      </c>
      <c r="I15" s="21" t="n">
        <v>18</v>
      </c>
      <c r="J15" s="22" t="s">
        <v>94</v>
      </c>
      <c r="K15" s="22" t="s">
        <v>94</v>
      </c>
      <c r="L15" s="22" t="s">
        <v>94</v>
      </c>
      <c r="M15" s="21"/>
    </row>
    <row r="16" customFormat="false" ht="15" hidden="false" customHeight="true" outlineLevel="0" collapsed="false">
      <c r="A16" s="8" t="n">
        <v>14</v>
      </c>
      <c r="B16" s="21" t="s">
        <v>156</v>
      </c>
      <c r="C16" s="21" t="s">
        <v>157</v>
      </c>
      <c r="D16" s="21" t="s">
        <v>158</v>
      </c>
      <c r="E16" s="21" t="s">
        <v>159</v>
      </c>
      <c r="F16" s="21" t="s">
        <v>90</v>
      </c>
      <c r="G16" s="21" t="s">
        <v>91</v>
      </c>
      <c r="H16" s="21" t="s">
        <v>160</v>
      </c>
      <c r="I16" s="21" t="n">
        <v>335</v>
      </c>
      <c r="J16" s="22" t="s">
        <v>93</v>
      </c>
      <c r="K16" s="22" t="s">
        <v>93</v>
      </c>
      <c r="L16" s="22" t="s">
        <v>94</v>
      </c>
      <c r="M16" s="21"/>
    </row>
    <row r="17" customFormat="false" ht="15" hidden="false" customHeight="true" outlineLevel="0" collapsed="false">
      <c r="A17" s="8" t="n">
        <v>15</v>
      </c>
      <c r="B17" s="21" t="s">
        <v>161</v>
      </c>
      <c r="C17" s="21" t="s">
        <v>162</v>
      </c>
      <c r="D17" s="21" t="s">
        <v>163</v>
      </c>
      <c r="E17" s="21" t="s">
        <v>164</v>
      </c>
      <c r="F17" s="21" t="s">
        <v>90</v>
      </c>
      <c r="G17" s="21" t="s">
        <v>91</v>
      </c>
      <c r="H17" s="21" t="s">
        <v>165</v>
      </c>
      <c r="I17" s="21" t="n">
        <v>220</v>
      </c>
      <c r="J17" s="22" t="s">
        <v>94</v>
      </c>
      <c r="K17" s="22" t="s">
        <v>94</v>
      </c>
      <c r="L17" s="22" t="s">
        <v>94</v>
      </c>
      <c r="M17" s="21"/>
    </row>
    <row r="18" customFormat="false" ht="15" hidden="false" customHeight="true" outlineLevel="0" collapsed="false">
      <c r="A18" s="8" t="n">
        <v>16</v>
      </c>
      <c r="B18" s="21" t="s">
        <v>166</v>
      </c>
      <c r="C18" s="21" t="s">
        <v>167</v>
      </c>
      <c r="D18" s="21" t="s">
        <v>168</v>
      </c>
      <c r="E18" s="21" t="s">
        <v>169</v>
      </c>
      <c r="F18" s="21" t="s">
        <v>90</v>
      </c>
      <c r="G18" s="21" t="s">
        <v>91</v>
      </c>
      <c r="H18" s="21" t="s">
        <v>170</v>
      </c>
      <c r="I18" s="21" t="n">
        <v>513</v>
      </c>
      <c r="J18" s="22" t="s">
        <v>93</v>
      </c>
      <c r="K18" s="22" t="s">
        <v>93</v>
      </c>
      <c r="L18" s="22" t="s">
        <v>94</v>
      </c>
      <c r="M18" s="21"/>
    </row>
    <row r="19" customFormat="false" ht="15" hidden="false" customHeight="true" outlineLevel="0" collapsed="false">
      <c r="A19" s="8" t="n">
        <v>17</v>
      </c>
      <c r="B19" s="21" t="s">
        <v>171</v>
      </c>
      <c r="C19" s="21" t="s">
        <v>172</v>
      </c>
      <c r="D19" s="21" t="s">
        <v>173</v>
      </c>
      <c r="E19" s="21" t="s">
        <v>103</v>
      </c>
      <c r="F19" s="21" t="s">
        <v>104</v>
      </c>
      <c r="G19" s="21" t="s">
        <v>91</v>
      </c>
      <c r="H19" s="21"/>
      <c r="I19" s="21" t="n">
        <v>0</v>
      </c>
      <c r="J19" s="22" t="s">
        <v>94</v>
      </c>
      <c r="K19" s="22" t="s">
        <v>94</v>
      </c>
      <c r="L19" s="22" t="s">
        <v>94</v>
      </c>
      <c r="M19" s="21"/>
    </row>
    <row r="20" customFormat="false" ht="15" hidden="false" customHeight="true" outlineLevel="0" collapsed="false">
      <c r="A20" s="8" t="n">
        <v>18</v>
      </c>
      <c r="B20" s="21" t="s">
        <v>174</v>
      </c>
      <c r="C20" s="21" t="s">
        <v>175</v>
      </c>
      <c r="D20" s="21" t="s">
        <v>176</v>
      </c>
      <c r="E20" s="21" t="s">
        <v>177</v>
      </c>
      <c r="F20" s="21" t="s">
        <v>90</v>
      </c>
      <c r="G20" s="21" t="s">
        <v>91</v>
      </c>
      <c r="H20" s="21" t="s">
        <v>178</v>
      </c>
      <c r="I20" s="21" t="n">
        <v>3</v>
      </c>
      <c r="J20" s="22" t="s">
        <v>93</v>
      </c>
      <c r="K20" s="22" t="s">
        <v>93</v>
      </c>
      <c r="L20" s="22" t="s">
        <v>94</v>
      </c>
      <c r="M20" s="21"/>
    </row>
    <row r="21" customFormat="false" ht="15" hidden="false" customHeight="true" outlineLevel="0" collapsed="false">
      <c r="A21" s="8" t="n">
        <v>19</v>
      </c>
      <c r="B21" s="21" t="s">
        <v>179</v>
      </c>
      <c r="C21" s="21" t="s">
        <v>180</v>
      </c>
      <c r="D21" s="21" t="s">
        <v>181</v>
      </c>
      <c r="E21" s="21" t="s">
        <v>182</v>
      </c>
      <c r="F21" s="21" t="s">
        <v>90</v>
      </c>
      <c r="G21" s="21" t="s">
        <v>91</v>
      </c>
      <c r="H21" s="21" t="s">
        <v>150</v>
      </c>
      <c r="I21" s="21" t="n">
        <v>17</v>
      </c>
      <c r="J21" s="22" t="s">
        <v>94</v>
      </c>
      <c r="K21" s="22" t="s">
        <v>93</v>
      </c>
      <c r="L21" s="22" t="s">
        <v>94</v>
      </c>
      <c r="M21" s="21"/>
    </row>
    <row r="22" customFormat="false" ht="15" hidden="false" customHeight="true" outlineLevel="0" collapsed="false">
      <c r="A22" s="8" t="n">
        <v>20</v>
      </c>
      <c r="B22" s="21" t="s">
        <v>183</v>
      </c>
      <c r="C22" s="21" t="s">
        <v>184</v>
      </c>
      <c r="D22" s="21" t="s">
        <v>185</v>
      </c>
      <c r="E22" s="21" t="s">
        <v>186</v>
      </c>
      <c r="F22" s="21" t="s">
        <v>90</v>
      </c>
      <c r="G22" s="21" t="s">
        <v>91</v>
      </c>
      <c r="H22" s="21" t="s">
        <v>187</v>
      </c>
      <c r="I22" s="21" t="n">
        <v>39</v>
      </c>
      <c r="J22" s="22" t="s">
        <v>94</v>
      </c>
      <c r="K22" s="22" t="s">
        <v>93</v>
      </c>
      <c r="L22" s="22" t="s">
        <v>94</v>
      </c>
      <c r="M22" s="21"/>
    </row>
  </sheetData>
  <dataValidations count="3">
    <dataValidation allowBlank="true" errorStyle="stop" operator="between" showDropDown="false" showErrorMessage="false" showInputMessage="false" sqref="F3:F22" type="list">
      <formula1>"official,third_party,none"</formula1>
      <formula2>0</formula2>
    </dataValidation>
    <dataValidation allowBlank="true" errorStyle="stop" operator="between" showDropDown="false" showErrorMessage="false" showInputMessage="false" sqref="G3:G22" type="list">
      <formula1>"lt10min,10to60min"</formula1>
      <formula2>0</formula2>
    </dataValidation>
    <dataValidation allowBlank="true" errorStyle="stop" operator="between" showDropDown="false" showErrorMessage="false" showInputMessage="false" sqref="J3:L22" type="list">
      <formula1>"是,否"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6"/>
    <col collapsed="false" customWidth="true" hidden="false" outlineLevel="0" max="2" min="2" style="5" width="16"/>
    <col collapsed="false" customWidth="true" hidden="false" outlineLevel="0" max="3" min="3" style="5" width="7"/>
    <col collapsed="false" customWidth="true" hidden="false" outlineLevel="0" max="4" min="4" style="5" width="10"/>
    <col collapsed="false" customWidth="true" hidden="false" outlineLevel="0" max="5" min="5" style="5" width="9"/>
    <col collapsed="false" customWidth="true" hidden="false" outlineLevel="0" max="6" min="6" style="5" width="11"/>
    <col collapsed="false" customWidth="true" hidden="false" outlineLevel="0" max="7" min="7" style="5" width="12"/>
    <col collapsed="false" customWidth="true" hidden="false" outlineLevel="0" max="8" min="8" style="5" width="11"/>
    <col collapsed="false" customWidth="true" hidden="false" outlineLevel="0" max="9" min="9" style="5" width="12"/>
    <col collapsed="false" customWidth="true" hidden="false" outlineLevel="0" max="10" min="10" style="5" width="11"/>
    <col collapsed="false" customWidth="true" hidden="false" outlineLevel="0" max="13" min="11" style="5" width="26"/>
    <col collapsed="false" customWidth="true" hidden="false" outlineLevel="0" max="14" min="14" style="5" width="40"/>
    <col collapsed="false" customWidth="true" hidden="false" outlineLevel="0" max="15" min="15" style="5" width="22"/>
    <col collapsed="false" customWidth="true" hidden="false" outlineLevel="0" max="16" min="16" style="5" width="14"/>
  </cols>
  <sheetData>
    <row r="1" customFormat="false" ht="30" hidden="false" customHeight="true" outlineLevel="0" collapsed="false">
      <c r="A1" s="11" t="s">
        <v>73</v>
      </c>
      <c r="B1" s="18" t="s">
        <v>74</v>
      </c>
      <c r="C1" s="11" t="s">
        <v>188</v>
      </c>
      <c r="D1" s="11" t="s">
        <v>189</v>
      </c>
      <c r="E1" s="18" t="s">
        <v>190</v>
      </c>
      <c r="F1" s="11" t="s">
        <v>191</v>
      </c>
      <c r="G1" s="11" t="s">
        <v>192</v>
      </c>
      <c r="H1" s="11" t="s">
        <v>193</v>
      </c>
      <c r="I1" s="11" t="s">
        <v>194</v>
      </c>
      <c r="J1" s="11" t="s">
        <v>195</v>
      </c>
      <c r="K1" s="11" t="s">
        <v>196</v>
      </c>
      <c r="L1" s="11" t="s">
        <v>197</v>
      </c>
      <c r="M1" s="11" t="s">
        <v>198</v>
      </c>
      <c r="N1" s="11" t="s">
        <v>199</v>
      </c>
      <c r="O1" s="11" t="s">
        <v>200</v>
      </c>
      <c r="P1" s="23" t="s">
        <v>201</v>
      </c>
    </row>
    <row r="2" customFormat="false" ht="15" hidden="false" customHeight="true" outlineLevel="0" collapsed="false">
      <c r="A2" s="19" t="n">
        <v>1</v>
      </c>
      <c r="B2" s="19" t="s">
        <v>86</v>
      </c>
      <c r="C2" s="19" t="s">
        <v>202</v>
      </c>
      <c r="D2" s="19" t="s">
        <v>203</v>
      </c>
      <c r="E2" s="19" t="n">
        <f aca="false">IFERROR(MATCH(D2,{"RL0";"RL1";"RL2";"RL3";"RL4"},0)-1,"")</f>
        <v>1</v>
      </c>
      <c r="F2" s="19" t="n">
        <v>214</v>
      </c>
      <c r="G2" s="20" t="s">
        <v>94</v>
      </c>
      <c r="H2" s="20" t="s">
        <v>93</v>
      </c>
      <c r="I2" s="19" t="n">
        <v>0.031</v>
      </c>
      <c r="J2" s="19" t="n">
        <v>0.062</v>
      </c>
      <c r="K2" s="19" t="s">
        <v>204</v>
      </c>
      <c r="L2" s="19"/>
      <c r="M2" s="19"/>
      <c r="N2" s="20" t="s">
        <v>205</v>
      </c>
      <c r="O2" s="19" t="s">
        <v>206</v>
      </c>
      <c r="P2" s="24" t="n">
        <f aca="false">IF(C2="A",F2,"")</f>
        <v>214</v>
      </c>
    </row>
    <row r="3" customFormat="false" ht="15" hidden="false" customHeight="true" outlineLevel="0" collapsed="false">
      <c r="A3" s="8" t="n">
        <v>1</v>
      </c>
      <c r="B3" s="21" t="s">
        <v>95</v>
      </c>
      <c r="C3" s="21" t="s">
        <v>202</v>
      </c>
      <c r="D3" s="21" t="s">
        <v>207</v>
      </c>
      <c r="E3" s="12" t="n">
        <f aca="false">IFERROR(MATCH(D3,{"RL0";"RL1";"RL2";"RL3";"RL4"},0)-1,"")</f>
        <v>0</v>
      </c>
      <c r="F3" s="21" t="n">
        <v>0.04</v>
      </c>
      <c r="G3" s="22" t="s">
        <v>94</v>
      </c>
      <c r="H3" s="22" t="s">
        <v>94</v>
      </c>
      <c r="I3" s="21"/>
      <c r="J3" s="21"/>
      <c r="K3" s="21" t="s">
        <v>208</v>
      </c>
      <c r="L3" s="21"/>
      <c r="M3" s="21"/>
      <c r="N3" s="21" t="s">
        <v>209</v>
      </c>
      <c r="O3" s="21" t="s">
        <v>210</v>
      </c>
      <c r="P3" s="12" t="n">
        <f aca="false">IF(C3="A",F3,"")</f>
        <v>0.04</v>
      </c>
    </row>
    <row r="4" customFormat="false" ht="15" hidden="false" customHeight="true" outlineLevel="0" collapsed="false">
      <c r="A4" s="8" t="n">
        <v>2</v>
      </c>
      <c r="B4" s="21" t="s">
        <v>100</v>
      </c>
      <c r="C4" s="21" t="s">
        <v>202</v>
      </c>
      <c r="D4" s="21" t="s">
        <v>207</v>
      </c>
      <c r="E4" s="12" t="n">
        <f aca="false">IFERROR(MATCH(D4,{"RL0";"RL1";"RL2";"RL3";"RL4"},0)-1,"")</f>
        <v>0</v>
      </c>
      <c r="F4" s="21" t="n">
        <v>0</v>
      </c>
      <c r="G4" s="22" t="s">
        <v>94</v>
      </c>
      <c r="H4" s="22" t="s">
        <v>94</v>
      </c>
      <c r="I4" s="21"/>
      <c r="J4" s="21"/>
      <c r="K4" s="21" t="s">
        <v>211</v>
      </c>
      <c r="L4" s="21"/>
      <c r="M4" s="21"/>
      <c r="N4" s="21" t="s">
        <v>212</v>
      </c>
      <c r="O4" s="21"/>
      <c r="P4" s="12" t="n">
        <f aca="false">IF(C4="A",F4,"")</f>
        <v>0</v>
      </c>
    </row>
    <row r="5" customFormat="false" ht="15" hidden="false" customHeight="true" outlineLevel="0" collapsed="false">
      <c r="A5" s="8" t="n">
        <v>3</v>
      </c>
      <c r="B5" s="21" t="s">
        <v>105</v>
      </c>
      <c r="C5" s="21" t="s">
        <v>202</v>
      </c>
      <c r="D5" s="21" t="s">
        <v>207</v>
      </c>
      <c r="E5" s="12" t="n">
        <f aca="false">IFERROR(MATCH(D5,{"RL0";"RL1";"RL2";"RL3";"RL4"},0)-1,"")</f>
        <v>0</v>
      </c>
      <c r="F5" s="21" t="n">
        <v>0.05</v>
      </c>
      <c r="G5" s="22" t="s">
        <v>94</v>
      </c>
      <c r="H5" s="22" t="s">
        <v>94</v>
      </c>
      <c r="I5" s="21"/>
      <c r="J5" s="21"/>
      <c r="K5" s="21" t="s">
        <v>208</v>
      </c>
      <c r="L5" s="21"/>
      <c r="M5" s="21"/>
      <c r="N5" s="21" t="s">
        <v>213</v>
      </c>
      <c r="O5" s="21" t="s">
        <v>214</v>
      </c>
      <c r="P5" s="12" t="n">
        <f aca="false">IF(C5="A",F5,"")</f>
        <v>0.05</v>
      </c>
    </row>
    <row r="6" customFormat="false" ht="15" hidden="false" customHeight="true" outlineLevel="0" collapsed="false">
      <c r="A6" s="8" t="n">
        <v>4</v>
      </c>
      <c r="B6" s="21" t="s">
        <v>110</v>
      </c>
      <c r="C6" s="21" t="s">
        <v>202</v>
      </c>
      <c r="D6" s="21" t="s">
        <v>207</v>
      </c>
      <c r="E6" s="12" t="n">
        <f aca="false">IFERROR(MATCH(D6,{"RL0";"RL1";"RL2";"RL3";"RL4"},0)-1,"")</f>
        <v>0</v>
      </c>
      <c r="F6" s="21" t="n">
        <v>0.38</v>
      </c>
      <c r="G6" s="22" t="s">
        <v>94</v>
      </c>
      <c r="H6" s="22" t="s">
        <v>94</v>
      </c>
      <c r="I6" s="21"/>
      <c r="J6" s="21"/>
      <c r="K6" s="21" t="s">
        <v>208</v>
      </c>
      <c r="L6" s="21"/>
      <c r="M6" s="21"/>
      <c r="N6" s="21" t="s">
        <v>215</v>
      </c>
      <c r="O6" s="21" t="s">
        <v>216</v>
      </c>
      <c r="P6" s="12" t="n">
        <f aca="false">IF(C6="A",F6,"")</f>
        <v>0.38</v>
      </c>
    </row>
    <row r="7" customFormat="false" ht="15" hidden="false" customHeight="true" outlineLevel="0" collapsed="false">
      <c r="A7" s="8" t="n">
        <v>5</v>
      </c>
      <c r="B7" s="21" t="s">
        <v>115</v>
      </c>
      <c r="C7" s="21" t="s">
        <v>202</v>
      </c>
      <c r="D7" s="21" t="s">
        <v>207</v>
      </c>
      <c r="E7" s="12" t="n">
        <f aca="false">IFERROR(MATCH(D7,{"RL0";"RL1";"RL2";"RL3";"RL4"},0)-1,"")</f>
        <v>0</v>
      </c>
      <c r="F7" s="21" t="n">
        <v>0.03</v>
      </c>
      <c r="G7" s="22" t="s">
        <v>94</v>
      </c>
      <c r="H7" s="22" t="s">
        <v>94</v>
      </c>
      <c r="I7" s="21"/>
      <c r="J7" s="21"/>
      <c r="K7" s="21" t="s">
        <v>217</v>
      </c>
      <c r="L7" s="21"/>
      <c r="M7" s="21"/>
      <c r="N7" s="21" t="s">
        <v>209</v>
      </c>
      <c r="O7" s="21" t="s">
        <v>218</v>
      </c>
      <c r="P7" s="12" t="n">
        <f aca="false">IF(C7="A",F7,"")</f>
        <v>0.03</v>
      </c>
    </row>
    <row r="8" customFormat="false" ht="15" hidden="false" customHeight="true" outlineLevel="0" collapsed="false">
      <c r="A8" s="8" t="n">
        <v>6</v>
      </c>
      <c r="B8" s="21" t="s">
        <v>120</v>
      </c>
      <c r="C8" s="21" t="s">
        <v>202</v>
      </c>
      <c r="D8" s="21" t="s">
        <v>207</v>
      </c>
      <c r="E8" s="12" t="n">
        <f aca="false">IFERROR(MATCH(D8,{"RL0";"RL1";"RL2";"RL3";"RL4"},0)-1,"")</f>
        <v>0</v>
      </c>
      <c r="F8" s="21" t="n">
        <v>0</v>
      </c>
      <c r="G8" s="22" t="s">
        <v>94</v>
      </c>
      <c r="H8" s="22" t="s">
        <v>94</v>
      </c>
      <c r="I8" s="21"/>
      <c r="J8" s="21"/>
      <c r="K8" s="21" t="s">
        <v>211</v>
      </c>
      <c r="L8" s="21"/>
      <c r="M8" s="21"/>
      <c r="N8" s="21" t="s">
        <v>212</v>
      </c>
      <c r="O8" s="21"/>
      <c r="P8" s="12" t="n">
        <f aca="false">IF(C8="A",F8,"")</f>
        <v>0</v>
      </c>
    </row>
    <row r="9" customFormat="false" ht="15" hidden="false" customHeight="true" outlineLevel="0" collapsed="false">
      <c r="A9" s="8" t="n">
        <v>7</v>
      </c>
      <c r="B9" s="21" t="s">
        <v>123</v>
      </c>
      <c r="C9" s="21" t="s">
        <v>202</v>
      </c>
      <c r="D9" s="21" t="s">
        <v>207</v>
      </c>
      <c r="E9" s="12" t="n">
        <f aca="false">IFERROR(MATCH(D9,{"RL0";"RL1";"RL2";"RL3";"RL4"},0)-1,"")</f>
        <v>0</v>
      </c>
      <c r="F9" s="21" t="n">
        <v>0</v>
      </c>
      <c r="G9" s="22" t="s">
        <v>94</v>
      </c>
      <c r="H9" s="22" t="s">
        <v>94</v>
      </c>
      <c r="I9" s="21"/>
      <c r="J9" s="21"/>
      <c r="K9" s="21" t="s">
        <v>211</v>
      </c>
      <c r="L9" s="21"/>
      <c r="M9" s="21"/>
      <c r="N9" s="21" t="s">
        <v>212</v>
      </c>
      <c r="O9" s="21"/>
      <c r="P9" s="12" t="n">
        <f aca="false">IF(C9="A",F9,"")</f>
        <v>0</v>
      </c>
    </row>
    <row r="10" customFormat="false" ht="15" hidden="false" customHeight="true" outlineLevel="0" collapsed="false">
      <c r="A10" s="8" t="n">
        <v>8</v>
      </c>
      <c r="B10" s="21" t="s">
        <v>126</v>
      </c>
      <c r="C10" s="21" t="s">
        <v>202</v>
      </c>
      <c r="D10" s="21" t="s">
        <v>207</v>
      </c>
      <c r="E10" s="12" t="n">
        <f aca="false">IFERROR(MATCH(D10,{"RL0";"RL1";"RL2";"RL3";"RL4"},0)-1,"")</f>
        <v>0</v>
      </c>
      <c r="F10" s="21" t="n">
        <v>0.3</v>
      </c>
      <c r="G10" s="22" t="s">
        <v>94</v>
      </c>
      <c r="H10" s="22" t="s">
        <v>94</v>
      </c>
      <c r="I10" s="21"/>
      <c r="J10" s="21"/>
      <c r="K10" s="21" t="s">
        <v>208</v>
      </c>
      <c r="L10" s="21"/>
      <c r="M10" s="21"/>
      <c r="N10" s="21" t="s">
        <v>215</v>
      </c>
      <c r="O10" s="21" t="s">
        <v>219</v>
      </c>
      <c r="P10" s="12" t="n">
        <f aca="false">IF(C10="A",F10,"")</f>
        <v>0.3</v>
      </c>
    </row>
    <row r="11" customFormat="false" ht="15" hidden="false" customHeight="true" outlineLevel="0" collapsed="false">
      <c r="A11" s="8" t="n">
        <v>9</v>
      </c>
      <c r="B11" s="21" t="s">
        <v>131</v>
      </c>
      <c r="C11" s="21" t="s">
        <v>202</v>
      </c>
      <c r="D11" s="21" t="s">
        <v>207</v>
      </c>
      <c r="E11" s="12" t="n">
        <f aca="false">IFERROR(MATCH(D11,{"RL0";"RL1";"RL2";"RL3";"RL4"},0)-1,"")</f>
        <v>0</v>
      </c>
      <c r="F11" s="21" t="n">
        <v>0.08</v>
      </c>
      <c r="G11" s="22" t="s">
        <v>94</v>
      </c>
      <c r="H11" s="22" t="s">
        <v>94</v>
      </c>
      <c r="I11" s="21"/>
      <c r="J11" s="21"/>
      <c r="K11" s="21" t="s">
        <v>208</v>
      </c>
      <c r="L11" s="21"/>
      <c r="M11" s="21"/>
      <c r="N11" s="21" t="s">
        <v>215</v>
      </c>
      <c r="O11" s="21" t="s">
        <v>220</v>
      </c>
      <c r="P11" s="12" t="n">
        <f aca="false">IF(C11="A",F11,"")</f>
        <v>0.08</v>
      </c>
    </row>
    <row r="12" customFormat="false" ht="15" hidden="false" customHeight="true" outlineLevel="0" collapsed="false">
      <c r="A12" s="8" t="n">
        <v>10</v>
      </c>
      <c r="B12" s="21" t="s">
        <v>136</v>
      </c>
      <c r="C12" s="21" t="s">
        <v>202</v>
      </c>
      <c r="D12" s="21" t="s">
        <v>207</v>
      </c>
      <c r="E12" s="12" t="n">
        <f aca="false">IFERROR(MATCH(D12,{"RL0";"RL1";"RL2";"RL3";"RL4"},0)-1,"")</f>
        <v>0</v>
      </c>
      <c r="F12" s="21" t="n">
        <v>0.03</v>
      </c>
      <c r="G12" s="22" t="s">
        <v>94</v>
      </c>
      <c r="H12" s="22" t="s">
        <v>94</v>
      </c>
      <c r="I12" s="21"/>
      <c r="J12" s="21"/>
      <c r="K12" s="21" t="s">
        <v>217</v>
      </c>
      <c r="L12" s="21"/>
      <c r="M12" s="21"/>
      <c r="N12" s="21" t="s">
        <v>209</v>
      </c>
      <c r="O12" s="21" t="s">
        <v>221</v>
      </c>
      <c r="P12" s="12" t="n">
        <f aca="false">IF(C12="A",F12,"")</f>
        <v>0.03</v>
      </c>
    </row>
    <row r="13" customFormat="false" ht="15" hidden="false" customHeight="true" outlineLevel="0" collapsed="false">
      <c r="A13" s="8" t="n">
        <v>11</v>
      </c>
      <c r="B13" s="21" t="s">
        <v>141</v>
      </c>
      <c r="C13" s="21" t="s">
        <v>202</v>
      </c>
      <c r="D13" s="21" t="s">
        <v>207</v>
      </c>
      <c r="E13" s="12" t="n">
        <f aca="false">IFERROR(MATCH(D13,{"RL0";"RL1";"RL2";"RL3";"RL4"},0)-1,"")</f>
        <v>0</v>
      </c>
      <c r="F13" s="21" t="n">
        <v>0.15</v>
      </c>
      <c r="G13" s="22" t="s">
        <v>94</v>
      </c>
      <c r="H13" s="22" t="s">
        <v>94</v>
      </c>
      <c r="I13" s="21"/>
      <c r="J13" s="21"/>
      <c r="K13" s="21" t="s">
        <v>208</v>
      </c>
      <c r="L13" s="21"/>
      <c r="M13" s="21"/>
      <c r="N13" s="21" t="s">
        <v>209</v>
      </c>
      <c r="O13" s="21" t="s">
        <v>222</v>
      </c>
      <c r="P13" s="12" t="n">
        <f aca="false">IF(C13="A",F13,"")</f>
        <v>0.15</v>
      </c>
    </row>
    <row r="14" customFormat="false" ht="15" hidden="false" customHeight="true" outlineLevel="0" collapsed="false">
      <c r="A14" s="8" t="n">
        <v>12</v>
      </c>
      <c r="B14" s="21" t="s">
        <v>146</v>
      </c>
      <c r="C14" s="21" t="s">
        <v>202</v>
      </c>
      <c r="D14" s="21" t="s">
        <v>207</v>
      </c>
      <c r="E14" s="12" t="n">
        <f aca="false">IFERROR(MATCH(D14,{"RL0";"RL1";"RL2";"RL3";"RL4"},0)-1,"")</f>
        <v>0</v>
      </c>
      <c r="F14" s="21" t="n">
        <v>0.05</v>
      </c>
      <c r="G14" s="22" t="s">
        <v>94</v>
      </c>
      <c r="H14" s="22" t="s">
        <v>94</v>
      </c>
      <c r="I14" s="21"/>
      <c r="J14" s="21"/>
      <c r="K14" s="21" t="s">
        <v>217</v>
      </c>
      <c r="L14" s="21"/>
      <c r="M14" s="21"/>
      <c r="N14" s="21" t="s">
        <v>209</v>
      </c>
      <c r="O14" s="21" t="s">
        <v>223</v>
      </c>
      <c r="P14" s="12" t="n">
        <f aca="false">IF(C14="A",F14,"")</f>
        <v>0.05</v>
      </c>
    </row>
    <row r="15" customFormat="false" ht="15" hidden="false" customHeight="true" outlineLevel="0" collapsed="false">
      <c r="A15" s="8" t="n">
        <v>13</v>
      </c>
      <c r="B15" s="21" t="s">
        <v>151</v>
      </c>
      <c r="C15" s="21" t="s">
        <v>202</v>
      </c>
      <c r="D15" s="21" t="s">
        <v>207</v>
      </c>
      <c r="E15" s="12" t="n">
        <f aca="false">IFERROR(MATCH(D15,{"RL0";"RL1";"RL2";"RL3";"RL4"},0)-1,"")</f>
        <v>0</v>
      </c>
      <c r="F15" s="21" t="n">
        <v>0.03</v>
      </c>
      <c r="G15" s="22" t="s">
        <v>94</v>
      </c>
      <c r="H15" s="22" t="s">
        <v>94</v>
      </c>
      <c r="I15" s="21"/>
      <c r="J15" s="21"/>
      <c r="K15" s="21" t="s">
        <v>217</v>
      </c>
      <c r="L15" s="21"/>
      <c r="M15" s="21"/>
      <c r="N15" s="21" t="s">
        <v>209</v>
      </c>
      <c r="O15" s="21" t="s">
        <v>224</v>
      </c>
      <c r="P15" s="12" t="n">
        <f aca="false">IF(C15="A",F15,"")</f>
        <v>0.03</v>
      </c>
    </row>
    <row r="16" customFormat="false" ht="15" hidden="false" customHeight="true" outlineLevel="0" collapsed="false">
      <c r="A16" s="8" t="n">
        <v>14</v>
      </c>
      <c r="B16" s="21" t="s">
        <v>156</v>
      </c>
      <c r="C16" s="21" t="s">
        <v>202</v>
      </c>
      <c r="D16" s="21" t="s">
        <v>207</v>
      </c>
      <c r="E16" s="12" t="n">
        <f aca="false">IFERROR(MATCH(D16,{"RL0";"RL1";"RL2";"RL3";"RL4"},0)-1,"")</f>
        <v>0</v>
      </c>
      <c r="F16" s="21" t="n">
        <v>2.87</v>
      </c>
      <c r="G16" s="22" t="s">
        <v>94</v>
      </c>
      <c r="H16" s="22" t="s">
        <v>94</v>
      </c>
      <c r="I16" s="21"/>
      <c r="J16" s="21"/>
      <c r="K16" s="21" t="s">
        <v>225</v>
      </c>
      <c r="L16" s="21"/>
      <c r="M16" s="21"/>
      <c r="N16" s="21" t="s">
        <v>226</v>
      </c>
      <c r="O16" s="21" t="s">
        <v>227</v>
      </c>
      <c r="P16" s="12" t="n">
        <f aca="false">IF(C16="A",F16,"")</f>
        <v>2.87</v>
      </c>
    </row>
    <row r="17" customFormat="false" ht="15" hidden="false" customHeight="true" outlineLevel="0" collapsed="false">
      <c r="A17" s="8" t="n">
        <v>15</v>
      </c>
      <c r="B17" s="21" t="s">
        <v>161</v>
      </c>
      <c r="C17" s="21" t="s">
        <v>202</v>
      </c>
      <c r="D17" s="21" t="s">
        <v>207</v>
      </c>
      <c r="E17" s="12" t="n">
        <f aca="false">IFERROR(MATCH(D17,{"RL0";"RL1";"RL2";"RL3";"RL4"},0)-1,"")</f>
        <v>0</v>
      </c>
      <c r="F17" s="21" t="n">
        <v>0.65</v>
      </c>
      <c r="G17" s="22" t="s">
        <v>94</v>
      </c>
      <c r="H17" s="22" t="s">
        <v>94</v>
      </c>
      <c r="I17" s="21"/>
      <c r="J17" s="21"/>
      <c r="K17" s="21" t="s">
        <v>208</v>
      </c>
      <c r="L17" s="21"/>
      <c r="M17" s="21"/>
      <c r="N17" s="21" t="s">
        <v>209</v>
      </c>
      <c r="O17" s="21" t="s">
        <v>228</v>
      </c>
      <c r="P17" s="12" t="n">
        <f aca="false">IF(C17="A",F17,"")</f>
        <v>0.65</v>
      </c>
    </row>
    <row r="18" customFormat="false" ht="15" hidden="false" customHeight="true" outlineLevel="0" collapsed="false">
      <c r="A18" s="8" t="n">
        <v>16</v>
      </c>
      <c r="B18" s="21" t="s">
        <v>166</v>
      </c>
      <c r="C18" s="21" t="s">
        <v>202</v>
      </c>
      <c r="D18" s="21" t="s">
        <v>207</v>
      </c>
      <c r="E18" s="12" t="n">
        <f aca="false">IFERROR(MATCH(D18,{"RL0";"RL1";"RL2";"RL3";"RL4"},0)-1,"")</f>
        <v>0</v>
      </c>
      <c r="F18" s="21" t="n">
        <v>2.71</v>
      </c>
      <c r="G18" s="22" t="s">
        <v>94</v>
      </c>
      <c r="H18" s="22" t="s">
        <v>94</v>
      </c>
      <c r="I18" s="21"/>
      <c r="J18" s="21"/>
      <c r="K18" s="21" t="s">
        <v>225</v>
      </c>
      <c r="L18" s="21"/>
      <c r="M18" s="21"/>
      <c r="N18" s="21" t="s">
        <v>226</v>
      </c>
      <c r="O18" s="21" t="s">
        <v>229</v>
      </c>
      <c r="P18" s="12" t="n">
        <f aca="false">IF(C18="A",F18,"")</f>
        <v>2.71</v>
      </c>
    </row>
    <row r="19" customFormat="false" ht="15" hidden="false" customHeight="true" outlineLevel="0" collapsed="false">
      <c r="A19" s="8" t="n">
        <v>17</v>
      </c>
      <c r="B19" s="21" t="s">
        <v>171</v>
      </c>
      <c r="C19" s="21" t="s">
        <v>202</v>
      </c>
      <c r="D19" s="21" t="s">
        <v>207</v>
      </c>
      <c r="E19" s="12" t="n">
        <f aca="false">IFERROR(MATCH(D19,{"RL0";"RL1";"RL2";"RL3";"RL4"},0)-1,"")</f>
        <v>0</v>
      </c>
      <c r="F19" s="21" t="n">
        <v>0</v>
      </c>
      <c r="G19" s="22" t="s">
        <v>94</v>
      </c>
      <c r="H19" s="22" t="s">
        <v>94</v>
      </c>
      <c r="I19" s="21"/>
      <c r="J19" s="21"/>
      <c r="K19" s="21" t="s">
        <v>211</v>
      </c>
      <c r="L19" s="21"/>
      <c r="M19" s="21"/>
      <c r="N19" s="21" t="s">
        <v>212</v>
      </c>
      <c r="O19" s="21"/>
      <c r="P19" s="12" t="n">
        <f aca="false">IF(C19="A",F19,"")</f>
        <v>0</v>
      </c>
    </row>
    <row r="20" customFormat="false" ht="15" hidden="false" customHeight="true" outlineLevel="0" collapsed="false">
      <c r="A20" s="8" t="n">
        <v>18</v>
      </c>
      <c r="B20" s="21" t="s">
        <v>174</v>
      </c>
      <c r="C20" s="21" t="s">
        <v>202</v>
      </c>
      <c r="D20" s="21" t="s">
        <v>207</v>
      </c>
      <c r="E20" s="12" t="n">
        <f aca="false">IFERROR(MATCH(D20,{"RL0";"RL1";"RL2";"RL3";"RL4"},0)-1,"")</f>
        <v>0</v>
      </c>
      <c r="F20" s="21" t="n">
        <v>0.08</v>
      </c>
      <c r="G20" s="22" t="s">
        <v>94</v>
      </c>
      <c r="H20" s="22" t="s">
        <v>94</v>
      </c>
      <c r="I20" s="21"/>
      <c r="J20" s="21"/>
      <c r="K20" s="21" t="s">
        <v>230</v>
      </c>
      <c r="L20" s="21"/>
      <c r="M20" s="21"/>
      <c r="N20" s="21" t="s">
        <v>226</v>
      </c>
      <c r="O20" s="21" t="s">
        <v>231</v>
      </c>
      <c r="P20" s="12" t="n">
        <f aca="false">IF(C20="A",F20,"")</f>
        <v>0.08</v>
      </c>
    </row>
    <row r="21" customFormat="false" ht="15" hidden="false" customHeight="true" outlineLevel="0" collapsed="false">
      <c r="A21" s="8" t="n">
        <v>19</v>
      </c>
      <c r="B21" s="21" t="s">
        <v>179</v>
      </c>
      <c r="C21" s="21" t="s">
        <v>202</v>
      </c>
      <c r="D21" s="21" t="s">
        <v>207</v>
      </c>
      <c r="E21" s="12" t="n">
        <f aca="false">IFERROR(MATCH(D21,{"RL0";"RL1";"RL2";"RL3";"RL4"},0)-1,"")</f>
        <v>0</v>
      </c>
      <c r="F21" s="21" t="n">
        <v>0.04</v>
      </c>
      <c r="G21" s="22" t="s">
        <v>94</v>
      </c>
      <c r="H21" s="22" t="s">
        <v>94</v>
      </c>
      <c r="I21" s="21"/>
      <c r="J21" s="21"/>
      <c r="K21" s="21" t="s">
        <v>208</v>
      </c>
      <c r="L21" s="21"/>
      <c r="M21" s="21"/>
      <c r="N21" s="21" t="s">
        <v>215</v>
      </c>
      <c r="O21" s="21" t="s">
        <v>232</v>
      </c>
      <c r="P21" s="12" t="n">
        <f aca="false">IF(C21="A",F21,"")</f>
        <v>0.04</v>
      </c>
    </row>
    <row r="22" customFormat="false" ht="15" hidden="false" customHeight="true" outlineLevel="0" collapsed="false">
      <c r="A22" s="8" t="n">
        <v>20</v>
      </c>
      <c r="B22" s="21" t="s">
        <v>183</v>
      </c>
      <c r="C22" s="21" t="s">
        <v>202</v>
      </c>
      <c r="D22" s="21" t="s">
        <v>207</v>
      </c>
      <c r="E22" s="12" t="n">
        <f aca="false">IFERROR(MATCH(D22,{"RL0";"RL1";"RL2";"RL3";"RL4"},0)-1,"")</f>
        <v>0</v>
      </c>
      <c r="F22" s="21" t="n">
        <v>0.18</v>
      </c>
      <c r="G22" s="22" t="s">
        <v>94</v>
      </c>
      <c r="H22" s="22" t="s">
        <v>94</v>
      </c>
      <c r="I22" s="21"/>
      <c r="J22" s="21"/>
      <c r="K22" s="21" t="s">
        <v>208</v>
      </c>
      <c r="L22" s="21"/>
      <c r="M22" s="21"/>
      <c r="N22" s="21" t="s">
        <v>215</v>
      </c>
      <c r="O22" s="21" t="s">
        <v>233</v>
      </c>
      <c r="P22" s="12" t="n">
        <f aca="false">IF(C22="A",F22,"")</f>
        <v>0.18</v>
      </c>
    </row>
    <row r="23" customFormat="false" ht="15" hidden="false" customHeight="true" outlineLevel="0" collapsed="false">
      <c r="A23" s="8" t="n">
        <v>21</v>
      </c>
      <c r="B23" s="21"/>
      <c r="C23" s="21"/>
      <c r="D23" s="21"/>
      <c r="E23" s="12" t="str">
        <f aca="false">IFERROR(MATCH(D23,{"RL0";"RL1";"RL2";"RL3";"RL4"},0)-1,"")</f>
        <v/>
      </c>
      <c r="F23" s="21"/>
      <c r="G23" s="22"/>
      <c r="H23" s="22"/>
      <c r="I23" s="21"/>
      <c r="J23" s="21"/>
      <c r="K23" s="21"/>
      <c r="L23" s="21"/>
      <c r="M23" s="21"/>
      <c r="N23" s="21"/>
      <c r="O23" s="21"/>
      <c r="P23" s="12" t="str">
        <f aca="false">IF(C23="A",F23,"")</f>
        <v/>
      </c>
    </row>
    <row r="24" customFormat="false" ht="15" hidden="false" customHeight="true" outlineLevel="0" collapsed="false">
      <c r="A24" s="8" t="n">
        <v>22</v>
      </c>
      <c r="B24" s="21"/>
      <c r="C24" s="21"/>
      <c r="D24" s="21"/>
      <c r="E24" s="12" t="str">
        <f aca="false">IFERROR(MATCH(D24,{"RL0";"RL1";"RL2";"RL3";"RL4"},0)-1,"")</f>
        <v/>
      </c>
      <c r="F24" s="21"/>
      <c r="G24" s="22"/>
      <c r="H24" s="22"/>
      <c r="I24" s="21"/>
      <c r="J24" s="21"/>
      <c r="K24" s="21"/>
      <c r="L24" s="21"/>
      <c r="M24" s="21"/>
      <c r="N24" s="21"/>
      <c r="O24" s="21"/>
      <c r="P24" s="12" t="str">
        <f aca="false">IF(C24="A",F24,"")</f>
        <v/>
      </c>
    </row>
    <row r="25" customFormat="false" ht="15" hidden="false" customHeight="true" outlineLevel="0" collapsed="false">
      <c r="A25" s="8" t="n">
        <v>23</v>
      </c>
      <c r="B25" s="21"/>
      <c r="C25" s="21"/>
      <c r="D25" s="21"/>
      <c r="E25" s="12" t="str">
        <f aca="false">IFERROR(MATCH(D25,{"RL0";"RL1";"RL2";"RL3";"RL4"},0)-1,"")</f>
        <v/>
      </c>
      <c r="F25" s="21"/>
      <c r="G25" s="22"/>
      <c r="H25" s="22"/>
      <c r="I25" s="21"/>
      <c r="J25" s="21"/>
      <c r="K25" s="21"/>
      <c r="L25" s="21"/>
      <c r="M25" s="21"/>
      <c r="N25" s="21"/>
      <c r="O25" s="21"/>
      <c r="P25" s="12" t="str">
        <f aca="false">IF(C25="A",F25,"")</f>
        <v/>
      </c>
    </row>
    <row r="26" customFormat="false" ht="15" hidden="false" customHeight="true" outlineLevel="0" collapsed="false">
      <c r="A26" s="8" t="n">
        <v>24</v>
      </c>
      <c r="B26" s="21"/>
      <c r="C26" s="21"/>
      <c r="D26" s="21"/>
      <c r="E26" s="12" t="str">
        <f aca="false">IFERROR(MATCH(D26,{"RL0";"RL1";"RL2";"RL3";"RL4"},0)-1,"")</f>
        <v/>
      </c>
      <c r="F26" s="21"/>
      <c r="G26" s="22"/>
      <c r="H26" s="22"/>
      <c r="I26" s="21"/>
      <c r="J26" s="21"/>
      <c r="K26" s="21"/>
      <c r="L26" s="21"/>
      <c r="M26" s="21"/>
      <c r="N26" s="21"/>
      <c r="O26" s="21"/>
      <c r="P26" s="12" t="str">
        <f aca="false">IF(C26="A",F26,"")</f>
        <v/>
      </c>
    </row>
    <row r="27" customFormat="false" ht="15" hidden="false" customHeight="true" outlineLevel="0" collapsed="false">
      <c r="A27" s="8" t="n">
        <v>25</v>
      </c>
      <c r="B27" s="21"/>
      <c r="C27" s="21"/>
      <c r="D27" s="21"/>
      <c r="E27" s="12" t="str">
        <f aca="false">IFERROR(MATCH(D27,{"RL0";"RL1";"RL2";"RL3";"RL4"},0)-1,"")</f>
        <v/>
      </c>
      <c r="F27" s="21"/>
      <c r="G27" s="22"/>
      <c r="H27" s="22"/>
      <c r="I27" s="21"/>
      <c r="J27" s="21"/>
      <c r="K27" s="21"/>
      <c r="L27" s="21"/>
      <c r="M27" s="21"/>
      <c r="N27" s="21"/>
      <c r="O27" s="21"/>
      <c r="P27" s="12" t="str">
        <f aca="false">IF(C27="A",F27,"")</f>
        <v/>
      </c>
    </row>
    <row r="28" customFormat="false" ht="15" hidden="false" customHeight="true" outlineLevel="0" collapsed="false">
      <c r="A28" s="8" t="n">
        <v>26</v>
      </c>
      <c r="B28" s="21"/>
      <c r="C28" s="21"/>
      <c r="D28" s="21"/>
      <c r="E28" s="12" t="str">
        <f aca="false">IFERROR(MATCH(D28,{"RL0";"RL1";"RL2";"RL3";"RL4"},0)-1,"")</f>
        <v/>
      </c>
      <c r="F28" s="21"/>
      <c r="G28" s="22"/>
      <c r="H28" s="22"/>
      <c r="I28" s="21"/>
      <c r="J28" s="21"/>
      <c r="K28" s="21"/>
      <c r="L28" s="21"/>
      <c r="M28" s="21"/>
      <c r="N28" s="21"/>
      <c r="O28" s="21"/>
      <c r="P28" s="12" t="str">
        <f aca="false">IF(C28="A",F28,"")</f>
        <v/>
      </c>
    </row>
    <row r="29" customFormat="false" ht="15" hidden="false" customHeight="true" outlineLevel="0" collapsed="false">
      <c r="A29" s="8" t="n">
        <v>27</v>
      </c>
      <c r="B29" s="21"/>
      <c r="C29" s="21"/>
      <c r="D29" s="21"/>
      <c r="E29" s="12" t="str">
        <f aca="false">IFERROR(MATCH(D29,{"RL0";"RL1";"RL2";"RL3";"RL4"},0)-1,"")</f>
        <v/>
      </c>
      <c r="F29" s="21"/>
      <c r="G29" s="22"/>
      <c r="H29" s="22"/>
      <c r="I29" s="21"/>
      <c r="J29" s="21"/>
      <c r="K29" s="21"/>
      <c r="L29" s="21"/>
      <c r="M29" s="21"/>
      <c r="N29" s="21"/>
      <c r="O29" s="21"/>
      <c r="P29" s="12" t="str">
        <f aca="false">IF(C29="A",F29,"")</f>
        <v/>
      </c>
    </row>
    <row r="30" customFormat="false" ht="15" hidden="false" customHeight="true" outlineLevel="0" collapsed="false">
      <c r="A30" s="8" t="n">
        <v>28</v>
      </c>
      <c r="B30" s="21"/>
      <c r="C30" s="21"/>
      <c r="D30" s="21"/>
      <c r="E30" s="12" t="str">
        <f aca="false">IFERROR(MATCH(D30,{"RL0";"RL1";"RL2";"RL3";"RL4"},0)-1,"")</f>
        <v/>
      </c>
      <c r="F30" s="21"/>
      <c r="G30" s="22"/>
      <c r="H30" s="22"/>
      <c r="I30" s="21"/>
      <c r="J30" s="21"/>
      <c r="K30" s="21"/>
      <c r="L30" s="21"/>
      <c r="M30" s="21"/>
      <c r="N30" s="21"/>
      <c r="O30" s="21"/>
      <c r="P30" s="12" t="str">
        <f aca="false">IF(C30="A",F30,"")</f>
        <v/>
      </c>
    </row>
  </sheetData>
  <dataValidations count="4">
    <dataValidation allowBlank="true" errorStyle="stop" operator="between" showDropDown="false" showErrorMessage="false" showInputMessage="false" sqref="C3:C30" type="list">
      <formula1>"A,B"</formula1>
      <formula2>0</formula2>
    </dataValidation>
    <dataValidation allowBlank="true" errorStyle="stop" operator="between" showDropDown="false" showErrorMessage="false" showInputMessage="false" sqref="D3:D30" type="list">
      <formula1>"RL0,RL1,RL2,RL3,RL4"</formula1>
      <formula2>0</formula2>
    </dataValidation>
    <dataValidation allowBlank="true" errorStyle="stop" operator="between" showDropDown="false" showErrorMessage="false" showInputMessage="false" sqref="G3:H30" type="list">
      <formula1>"是,否"</formula1>
      <formula2>0</formula2>
    </dataValidation>
    <dataValidation allowBlank="true" errorStyle="stop" operator="between" showDropDown="false" showErrorMessage="false" showInputMessage="false" sqref="K3:M30" type="list">
      <formula1>"NO_CODE,DEPENDENCY_UNRESOLVABLE,HARDWARE_UNAVAILABLE,DATA_UNAVAILABLE,DATA_ACCESS_GATED,CHECKPOINT_MISSING,UNDOCUMENTED_PREPROCESSING,CONFIG_AMBIGUOUS,NONDETERMINISM,METRIC_DEFINITION_MISMATCH,NUMBERS_DIVERGE,TIMEBOX_EXCEEDED,LICENSE_BLOCKED"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6"/>
    <col collapsed="false" customWidth="true" hidden="false" outlineLevel="0" max="2" min="2" style="5" width="16"/>
    <col collapsed="false" customWidth="true" hidden="false" outlineLevel="0" max="3" min="3" style="5" width="7"/>
    <col collapsed="false" customWidth="true" hidden="false" outlineLevel="0" max="4" min="4" style="5" width="12"/>
    <col collapsed="false" customWidth="true" hidden="false" outlineLevel="0" max="5" min="5" style="5" width="26"/>
    <col collapsed="false" customWidth="true" hidden="false" outlineLevel="0" max="6" min="6" style="5" width="16"/>
    <col collapsed="false" customWidth="true" hidden="false" outlineLevel="0" max="8" min="7" style="5" width="12"/>
    <col collapsed="false" customWidth="true" hidden="false" outlineLevel="0" max="10" min="9" style="5" width="11"/>
    <col collapsed="false" customWidth="true" hidden="false" outlineLevel="0" max="11" min="11" style="5" width="14"/>
    <col collapsed="false" customWidth="true" hidden="false" outlineLevel="0" max="12" min="12" style="5" width="16"/>
  </cols>
  <sheetData>
    <row r="1" customFormat="false" ht="30" hidden="false" customHeight="true" outlineLevel="0" collapsed="false">
      <c r="A1" s="11" t="s">
        <v>73</v>
      </c>
      <c r="B1" s="18" t="s">
        <v>74</v>
      </c>
      <c r="C1" s="11" t="s">
        <v>188</v>
      </c>
      <c r="D1" s="18" t="s">
        <v>234</v>
      </c>
      <c r="E1" s="11" t="s">
        <v>235</v>
      </c>
      <c r="F1" s="11" t="s">
        <v>236</v>
      </c>
      <c r="G1" s="11" t="s">
        <v>237</v>
      </c>
      <c r="H1" s="11" t="s">
        <v>238</v>
      </c>
      <c r="I1" s="11" t="s">
        <v>239</v>
      </c>
      <c r="J1" s="11" t="s">
        <v>195</v>
      </c>
      <c r="K1" s="11" t="s">
        <v>240</v>
      </c>
      <c r="L1" s="18" t="s">
        <v>241</v>
      </c>
    </row>
    <row r="2" customFormat="false" ht="15" hidden="false" customHeight="true" outlineLevel="0" collapsed="false">
      <c r="A2" s="19" t="n">
        <v>1</v>
      </c>
      <c r="B2" s="19" t="s">
        <v>86</v>
      </c>
      <c r="C2" s="19" t="s">
        <v>202</v>
      </c>
      <c r="D2" s="19" t="s">
        <v>242</v>
      </c>
      <c r="E2" s="19" t="s">
        <v>243</v>
      </c>
      <c r="F2" s="19" t="s">
        <v>244</v>
      </c>
      <c r="G2" s="19" t="n">
        <v>0.842</v>
      </c>
      <c r="H2" s="19" t="n">
        <v>0.799</v>
      </c>
      <c r="I2" s="19" t="n">
        <f aca="false">IFERROR(ABS(H2-G2)/G2,"")</f>
        <v>0.0510688836104512</v>
      </c>
      <c r="J2" s="19" t="n">
        <v>0.062</v>
      </c>
      <c r="K2" s="19" t="str">
        <f aca="false">IF(OR(G2="",H2=""),"NOT_ATTEMPTED",IF(I2&lt;=J2,"MATCH","DIVERGE"))</f>
        <v>MATCH</v>
      </c>
      <c r="L2" s="19" t="s">
        <v>245</v>
      </c>
    </row>
    <row r="3" customFormat="false" ht="15" hidden="false" customHeight="true" outlineLevel="0" collapsed="false">
      <c r="A3" s="8" t="n">
        <v>1</v>
      </c>
      <c r="B3" s="21"/>
      <c r="C3" s="21"/>
      <c r="D3" s="21"/>
      <c r="E3" s="21"/>
      <c r="F3" s="21"/>
      <c r="G3" s="25"/>
      <c r="H3" s="25"/>
      <c r="I3" s="26" t="str">
        <f aca="false">IFERROR(ABS(H3-G3)/G3,"")</f>
        <v/>
      </c>
      <c r="J3" s="27"/>
      <c r="K3" s="12" t="str">
        <f aca="false">IF(OR(G3="",H3=""),"NOT_ATTEMPTED",IF(I3&lt;=J3,"MATCH","DIVERGE"))</f>
        <v>NOT_ATTEMPTED</v>
      </c>
      <c r="L3" s="21"/>
    </row>
    <row r="4" customFormat="false" ht="15" hidden="false" customHeight="true" outlineLevel="0" collapsed="false">
      <c r="A4" s="8" t="n">
        <v>2</v>
      </c>
      <c r="B4" s="21"/>
      <c r="C4" s="21"/>
      <c r="D4" s="21"/>
      <c r="E4" s="21"/>
      <c r="F4" s="21"/>
      <c r="G4" s="25"/>
      <c r="H4" s="25"/>
      <c r="I4" s="26" t="str">
        <f aca="false">IFERROR(ABS(H4-G4)/G4,"")</f>
        <v/>
      </c>
      <c r="J4" s="27"/>
      <c r="K4" s="12" t="str">
        <f aca="false">IF(OR(G4="",H4=""),"NOT_ATTEMPTED",IF(I4&lt;=J4,"MATCH","DIVERGE"))</f>
        <v>NOT_ATTEMPTED</v>
      </c>
      <c r="L4" s="21"/>
    </row>
    <row r="5" customFormat="false" ht="15" hidden="false" customHeight="true" outlineLevel="0" collapsed="false">
      <c r="A5" s="8" t="n">
        <v>3</v>
      </c>
      <c r="B5" s="21"/>
      <c r="C5" s="21"/>
      <c r="D5" s="21"/>
      <c r="E5" s="21"/>
      <c r="F5" s="21"/>
      <c r="G5" s="25"/>
      <c r="H5" s="25"/>
      <c r="I5" s="26" t="str">
        <f aca="false">IFERROR(ABS(H5-G5)/G5,"")</f>
        <v/>
      </c>
      <c r="J5" s="27"/>
      <c r="K5" s="12" t="str">
        <f aca="false">IF(OR(G5="",H5=""),"NOT_ATTEMPTED",IF(I5&lt;=J5,"MATCH","DIVERGE"))</f>
        <v>NOT_ATTEMPTED</v>
      </c>
      <c r="L5" s="21"/>
    </row>
    <row r="6" customFormat="false" ht="15" hidden="false" customHeight="true" outlineLevel="0" collapsed="false">
      <c r="A6" s="8" t="n">
        <v>4</v>
      </c>
      <c r="B6" s="21"/>
      <c r="C6" s="21"/>
      <c r="D6" s="21"/>
      <c r="E6" s="21"/>
      <c r="F6" s="21"/>
      <c r="G6" s="25"/>
      <c r="H6" s="25"/>
      <c r="I6" s="26" t="str">
        <f aca="false">IFERROR(ABS(H6-G6)/G6,"")</f>
        <v/>
      </c>
      <c r="J6" s="27"/>
      <c r="K6" s="12" t="str">
        <f aca="false">IF(OR(G6="",H6=""),"NOT_ATTEMPTED",IF(I6&lt;=J6,"MATCH","DIVERGE"))</f>
        <v>NOT_ATTEMPTED</v>
      </c>
      <c r="L6" s="21"/>
    </row>
    <row r="7" customFormat="false" ht="15" hidden="false" customHeight="true" outlineLevel="0" collapsed="false">
      <c r="A7" s="8" t="n">
        <v>5</v>
      </c>
      <c r="B7" s="21"/>
      <c r="C7" s="21"/>
      <c r="D7" s="21"/>
      <c r="E7" s="21"/>
      <c r="F7" s="21"/>
      <c r="G7" s="25"/>
      <c r="H7" s="25"/>
      <c r="I7" s="26" t="str">
        <f aca="false">IFERROR(ABS(H7-G7)/G7,"")</f>
        <v/>
      </c>
      <c r="J7" s="27"/>
      <c r="K7" s="12" t="str">
        <f aca="false">IF(OR(G7="",H7=""),"NOT_ATTEMPTED",IF(I7&lt;=J7,"MATCH","DIVERGE"))</f>
        <v>NOT_ATTEMPTED</v>
      </c>
      <c r="L7" s="21"/>
    </row>
    <row r="8" customFormat="false" ht="15" hidden="false" customHeight="true" outlineLevel="0" collapsed="false">
      <c r="A8" s="8" t="n">
        <v>6</v>
      </c>
      <c r="B8" s="21"/>
      <c r="C8" s="21"/>
      <c r="D8" s="21"/>
      <c r="E8" s="21"/>
      <c r="F8" s="21"/>
      <c r="G8" s="25"/>
      <c r="H8" s="25"/>
      <c r="I8" s="26" t="str">
        <f aca="false">IFERROR(ABS(H8-G8)/G8,"")</f>
        <v/>
      </c>
      <c r="J8" s="27"/>
      <c r="K8" s="12" t="str">
        <f aca="false">IF(OR(G8="",H8=""),"NOT_ATTEMPTED",IF(I8&lt;=J8,"MATCH","DIVERGE"))</f>
        <v>NOT_ATTEMPTED</v>
      </c>
      <c r="L8" s="21"/>
    </row>
    <row r="9" customFormat="false" ht="15" hidden="false" customHeight="true" outlineLevel="0" collapsed="false">
      <c r="A9" s="8" t="n">
        <v>7</v>
      </c>
      <c r="B9" s="21"/>
      <c r="C9" s="21"/>
      <c r="D9" s="21"/>
      <c r="E9" s="21"/>
      <c r="F9" s="21"/>
      <c r="G9" s="25"/>
      <c r="H9" s="25"/>
      <c r="I9" s="26" t="str">
        <f aca="false">IFERROR(ABS(H9-G9)/G9,"")</f>
        <v/>
      </c>
      <c r="J9" s="27"/>
      <c r="K9" s="12" t="str">
        <f aca="false">IF(OR(G9="",H9=""),"NOT_ATTEMPTED",IF(I9&lt;=J9,"MATCH","DIVERGE"))</f>
        <v>NOT_ATTEMPTED</v>
      </c>
      <c r="L9" s="21"/>
    </row>
    <row r="10" customFormat="false" ht="15" hidden="false" customHeight="true" outlineLevel="0" collapsed="false">
      <c r="A10" s="8" t="n">
        <v>8</v>
      </c>
      <c r="B10" s="21"/>
      <c r="C10" s="21"/>
      <c r="D10" s="21"/>
      <c r="E10" s="21"/>
      <c r="F10" s="21"/>
      <c r="G10" s="25"/>
      <c r="H10" s="25"/>
      <c r="I10" s="26" t="str">
        <f aca="false">IFERROR(ABS(H10-G10)/G10,"")</f>
        <v/>
      </c>
      <c r="J10" s="27"/>
      <c r="K10" s="12" t="str">
        <f aca="false">IF(OR(G10="",H10=""),"NOT_ATTEMPTED",IF(I10&lt;=J10,"MATCH","DIVERGE"))</f>
        <v>NOT_ATTEMPTED</v>
      </c>
      <c r="L10" s="21"/>
    </row>
    <row r="11" customFormat="false" ht="15" hidden="false" customHeight="true" outlineLevel="0" collapsed="false">
      <c r="A11" s="8" t="n">
        <v>9</v>
      </c>
      <c r="B11" s="21"/>
      <c r="C11" s="21"/>
      <c r="D11" s="21"/>
      <c r="E11" s="21"/>
      <c r="F11" s="21"/>
      <c r="G11" s="25"/>
      <c r="H11" s="25"/>
      <c r="I11" s="26" t="str">
        <f aca="false">IFERROR(ABS(H11-G11)/G11,"")</f>
        <v/>
      </c>
      <c r="J11" s="27"/>
      <c r="K11" s="12" t="str">
        <f aca="false">IF(OR(G11="",H11=""),"NOT_ATTEMPTED",IF(I11&lt;=J11,"MATCH","DIVERGE"))</f>
        <v>NOT_ATTEMPTED</v>
      </c>
      <c r="L11" s="21"/>
    </row>
    <row r="12" customFormat="false" ht="15" hidden="false" customHeight="true" outlineLevel="0" collapsed="false">
      <c r="A12" s="8" t="n">
        <v>10</v>
      </c>
      <c r="B12" s="21"/>
      <c r="C12" s="21"/>
      <c r="D12" s="21"/>
      <c r="E12" s="21"/>
      <c r="F12" s="21"/>
      <c r="G12" s="25"/>
      <c r="H12" s="25"/>
      <c r="I12" s="26" t="str">
        <f aca="false">IFERROR(ABS(H12-G12)/G12,"")</f>
        <v/>
      </c>
      <c r="J12" s="27"/>
      <c r="K12" s="12" t="str">
        <f aca="false">IF(OR(G12="",H12=""),"NOT_ATTEMPTED",IF(I12&lt;=J12,"MATCH","DIVERGE"))</f>
        <v>NOT_ATTEMPTED</v>
      </c>
      <c r="L12" s="21"/>
    </row>
    <row r="13" customFormat="false" ht="15" hidden="false" customHeight="true" outlineLevel="0" collapsed="false">
      <c r="A13" s="8" t="n">
        <v>11</v>
      </c>
      <c r="B13" s="21"/>
      <c r="C13" s="21"/>
      <c r="D13" s="21"/>
      <c r="E13" s="21"/>
      <c r="F13" s="21"/>
      <c r="G13" s="25"/>
      <c r="H13" s="25"/>
      <c r="I13" s="26" t="str">
        <f aca="false">IFERROR(ABS(H13-G13)/G13,"")</f>
        <v/>
      </c>
      <c r="J13" s="27"/>
      <c r="K13" s="12" t="str">
        <f aca="false">IF(OR(G13="",H13=""),"NOT_ATTEMPTED",IF(I13&lt;=J13,"MATCH","DIVERGE"))</f>
        <v>NOT_ATTEMPTED</v>
      </c>
      <c r="L13" s="21"/>
    </row>
    <row r="14" customFormat="false" ht="15" hidden="false" customHeight="true" outlineLevel="0" collapsed="false">
      <c r="A14" s="8" t="n">
        <v>12</v>
      </c>
      <c r="B14" s="21"/>
      <c r="C14" s="21"/>
      <c r="D14" s="21"/>
      <c r="E14" s="21"/>
      <c r="F14" s="21"/>
      <c r="G14" s="25"/>
      <c r="H14" s="25"/>
      <c r="I14" s="26" t="str">
        <f aca="false">IFERROR(ABS(H14-G14)/G14,"")</f>
        <v/>
      </c>
      <c r="J14" s="27"/>
      <c r="K14" s="12" t="str">
        <f aca="false">IF(OR(G14="",H14=""),"NOT_ATTEMPTED",IF(I14&lt;=J14,"MATCH","DIVERGE"))</f>
        <v>NOT_ATTEMPTED</v>
      </c>
      <c r="L14" s="21"/>
    </row>
    <row r="15" customFormat="false" ht="15" hidden="false" customHeight="true" outlineLevel="0" collapsed="false">
      <c r="A15" s="8" t="n">
        <v>13</v>
      </c>
      <c r="B15" s="21"/>
      <c r="C15" s="21"/>
      <c r="D15" s="21"/>
      <c r="E15" s="21"/>
      <c r="F15" s="21"/>
      <c r="G15" s="25"/>
      <c r="H15" s="25"/>
      <c r="I15" s="26" t="str">
        <f aca="false">IFERROR(ABS(H15-G15)/G15,"")</f>
        <v/>
      </c>
      <c r="J15" s="27"/>
      <c r="K15" s="12" t="str">
        <f aca="false">IF(OR(G15="",H15=""),"NOT_ATTEMPTED",IF(I15&lt;=J15,"MATCH","DIVERGE"))</f>
        <v>NOT_ATTEMPTED</v>
      </c>
      <c r="L15" s="21"/>
    </row>
    <row r="16" customFormat="false" ht="15" hidden="false" customHeight="true" outlineLevel="0" collapsed="false">
      <c r="A16" s="8" t="n">
        <v>14</v>
      </c>
      <c r="B16" s="21"/>
      <c r="C16" s="21"/>
      <c r="D16" s="21"/>
      <c r="E16" s="21"/>
      <c r="F16" s="21"/>
      <c r="G16" s="25"/>
      <c r="H16" s="25"/>
      <c r="I16" s="26" t="str">
        <f aca="false">IFERROR(ABS(H16-G16)/G16,"")</f>
        <v/>
      </c>
      <c r="J16" s="27"/>
      <c r="K16" s="12" t="str">
        <f aca="false">IF(OR(G16="",H16=""),"NOT_ATTEMPTED",IF(I16&lt;=J16,"MATCH","DIVERGE"))</f>
        <v>NOT_ATTEMPTED</v>
      </c>
      <c r="L16" s="21"/>
    </row>
    <row r="17" customFormat="false" ht="15" hidden="false" customHeight="true" outlineLevel="0" collapsed="false">
      <c r="A17" s="8" t="n">
        <v>15</v>
      </c>
      <c r="B17" s="21"/>
      <c r="C17" s="21"/>
      <c r="D17" s="21"/>
      <c r="E17" s="21"/>
      <c r="F17" s="21"/>
      <c r="G17" s="25"/>
      <c r="H17" s="25"/>
      <c r="I17" s="26" t="str">
        <f aca="false">IFERROR(ABS(H17-G17)/G17,"")</f>
        <v/>
      </c>
      <c r="J17" s="27"/>
      <c r="K17" s="12" t="str">
        <f aca="false">IF(OR(G17="",H17=""),"NOT_ATTEMPTED",IF(I17&lt;=J17,"MATCH","DIVERGE"))</f>
        <v>NOT_ATTEMPTED</v>
      </c>
      <c r="L17" s="21"/>
    </row>
    <row r="18" customFormat="false" ht="15" hidden="false" customHeight="true" outlineLevel="0" collapsed="false">
      <c r="A18" s="8" t="n">
        <v>16</v>
      </c>
      <c r="B18" s="21"/>
      <c r="C18" s="21"/>
      <c r="D18" s="21"/>
      <c r="E18" s="21"/>
      <c r="F18" s="21"/>
      <c r="G18" s="25"/>
      <c r="H18" s="25"/>
      <c r="I18" s="26" t="str">
        <f aca="false">IFERROR(ABS(H18-G18)/G18,"")</f>
        <v/>
      </c>
      <c r="J18" s="27"/>
      <c r="K18" s="12" t="str">
        <f aca="false">IF(OR(G18="",H18=""),"NOT_ATTEMPTED",IF(I18&lt;=J18,"MATCH","DIVERGE"))</f>
        <v>NOT_ATTEMPTED</v>
      </c>
      <c r="L18" s="21"/>
    </row>
    <row r="19" customFormat="false" ht="15" hidden="false" customHeight="true" outlineLevel="0" collapsed="false">
      <c r="A19" s="8" t="n">
        <v>17</v>
      </c>
      <c r="B19" s="21"/>
      <c r="C19" s="21"/>
      <c r="D19" s="21"/>
      <c r="E19" s="21"/>
      <c r="F19" s="21"/>
      <c r="G19" s="25"/>
      <c r="H19" s="25"/>
      <c r="I19" s="26" t="str">
        <f aca="false">IFERROR(ABS(H19-G19)/G19,"")</f>
        <v/>
      </c>
      <c r="J19" s="27"/>
      <c r="K19" s="12" t="str">
        <f aca="false">IF(OR(G19="",H19=""),"NOT_ATTEMPTED",IF(I19&lt;=J19,"MATCH","DIVERGE"))</f>
        <v>NOT_ATTEMPTED</v>
      </c>
      <c r="L19" s="21"/>
    </row>
    <row r="20" customFormat="false" ht="15" hidden="false" customHeight="true" outlineLevel="0" collapsed="false">
      <c r="A20" s="8" t="n">
        <v>18</v>
      </c>
      <c r="B20" s="21"/>
      <c r="C20" s="21"/>
      <c r="D20" s="21"/>
      <c r="E20" s="21"/>
      <c r="F20" s="21"/>
      <c r="G20" s="25"/>
      <c r="H20" s="25"/>
      <c r="I20" s="26" t="str">
        <f aca="false">IFERROR(ABS(H20-G20)/G20,"")</f>
        <v/>
      </c>
      <c r="J20" s="27"/>
      <c r="K20" s="12" t="str">
        <f aca="false">IF(OR(G20="",H20=""),"NOT_ATTEMPTED",IF(I20&lt;=J20,"MATCH","DIVERGE"))</f>
        <v>NOT_ATTEMPTED</v>
      </c>
      <c r="L20" s="21"/>
    </row>
    <row r="21" customFormat="false" ht="15" hidden="false" customHeight="true" outlineLevel="0" collapsed="false">
      <c r="A21" s="8" t="n">
        <v>19</v>
      </c>
      <c r="B21" s="21"/>
      <c r="C21" s="21"/>
      <c r="D21" s="21"/>
      <c r="E21" s="21"/>
      <c r="F21" s="21"/>
      <c r="G21" s="25"/>
      <c r="H21" s="25"/>
      <c r="I21" s="26" t="str">
        <f aca="false">IFERROR(ABS(H21-G21)/G21,"")</f>
        <v/>
      </c>
      <c r="J21" s="27"/>
      <c r="K21" s="12" t="str">
        <f aca="false">IF(OR(G21="",H21=""),"NOT_ATTEMPTED",IF(I21&lt;=J21,"MATCH","DIVERGE"))</f>
        <v>NOT_ATTEMPTED</v>
      </c>
      <c r="L21" s="21"/>
    </row>
    <row r="22" customFormat="false" ht="15" hidden="false" customHeight="true" outlineLevel="0" collapsed="false">
      <c r="A22" s="8" t="n">
        <v>20</v>
      </c>
      <c r="B22" s="21"/>
      <c r="C22" s="21"/>
      <c r="D22" s="21"/>
      <c r="E22" s="21"/>
      <c r="F22" s="21"/>
      <c r="G22" s="25"/>
      <c r="H22" s="25"/>
      <c r="I22" s="26" t="str">
        <f aca="false">IFERROR(ABS(H22-G22)/G22,"")</f>
        <v/>
      </c>
      <c r="J22" s="27"/>
      <c r="K22" s="12" t="str">
        <f aca="false">IF(OR(G22="",H22=""),"NOT_ATTEMPTED",IF(I22&lt;=J22,"MATCH","DIVERGE"))</f>
        <v>NOT_ATTEMPTED</v>
      </c>
      <c r="L22" s="21"/>
    </row>
    <row r="23" customFormat="false" ht="15" hidden="false" customHeight="true" outlineLevel="0" collapsed="false">
      <c r="A23" s="8" t="n">
        <v>21</v>
      </c>
      <c r="B23" s="21"/>
      <c r="C23" s="21"/>
      <c r="D23" s="21"/>
      <c r="E23" s="21"/>
      <c r="F23" s="21"/>
      <c r="G23" s="25"/>
      <c r="H23" s="25"/>
      <c r="I23" s="26" t="str">
        <f aca="false">IFERROR(ABS(H23-G23)/G23,"")</f>
        <v/>
      </c>
      <c r="J23" s="27"/>
      <c r="K23" s="12" t="str">
        <f aca="false">IF(OR(G23="",H23=""),"NOT_ATTEMPTED",IF(I23&lt;=J23,"MATCH","DIVERGE"))</f>
        <v>NOT_ATTEMPTED</v>
      </c>
      <c r="L23" s="21"/>
    </row>
    <row r="24" customFormat="false" ht="15" hidden="false" customHeight="true" outlineLevel="0" collapsed="false">
      <c r="A24" s="8" t="n">
        <v>22</v>
      </c>
      <c r="B24" s="21"/>
      <c r="C24" s="21"/>
      <c r="D24" s="21"/>
      <c r="E24" s="21"/>
      <c r="F24" s="21"/>
      <c r="G24" s="25"/>
      <c r="H24" s="25"/>
      <c r="I24" s="26" t="str">
        <f aca="false">IFERROR(ABS(H24-G24)/G24,"")</f>
        <v/>
      </c>
      <c r="J24" s="27"/>
      <c r="K24" s="12" t="str">
        <f aca="false">IF(OR(G24="",H24=""),"NOT_ATTEMPTED",IF(I24&lt;=J24,"MATCH","DIVERGE"))</f>
        <v>NOT_ATTEMPTED</v>
      </c>
      <c r="L24" s="21"/>
    </row>
    <row r="25" customFormat="false" ht="15" hidden="false" customHeight="true" outlineLevel="0" collapsed="false">
      <c r="A25" s="8" t="n">
        <v>23</v>
      </c>
      <c r="B25" s="21"/>
      <c r="C25" s="21"/>
      <c r="D25" s="21"/>
      <c r="E25" s="21"/>
      <c r="F25" s="21"/>
      <c r="G25" s="25"/>
      <c r="H25" s="25"/>
      <c r="I25" s="26" t="str">
        <f aca="false">IFERROR(ABS(H25-G25)/G25,"")</f>
        <v/>
      </c>
      <c r="J25" s="27"/>
      <c r="K25" s="12" t="str">
        <f aca="false">IF(OR(G25="",H25=""),"NOT_ATTEMPTED",IF(I25&lt;=J25,"MATCH","DIVERGE"))</f>
        <v>NOT_ATTEMPTED</v>
      </c>
      <c r="L25" s="21"/>
    </row>
    <row r="26" customFormat="false" ht="15" hidden="false" customHeight="true" outlineLevel="0" collapsed="false">
      <c r="A26" s="8" t="n">
        <v>24</v>
      </c>
      <c r="B26" s="21"/>
      <c r="C26" s="21"/>
      <c r="D26" s="21"/>
      <c r="E26" s="21"/>
      <c r="F26" s="21"/>
      <c r="G26" s="25"/>
      <c r="H26" s="25"/>
      <c r="I26" s="26" t="str">
        <f aca="false">IFERROR(ABS(H26-G26)/G26,"")</f>
        <v/>
      </c>
      <c r="J26" s="27"/>
      <c r="K26" s="12" t="str">
        <f aca="false">IF(OR(G26="",H26=""),"NOT_ATTEMPTED",IF(I26&lt;=J26,"MATCH","DIVERGE"))</f>
        <v>NOT_ATTEMPTED</v>
      </c>
      <c r="L26" s="21"/>
    </row>
    <row r="27" customFormat="false" ht="15" hidden="false" customHeight="true" outlineLevel="0" collapsed="false">
      <c r="A27" s="8" t="n">
        <v>25</v>
      </c>
      <c r="B27" s="21"/>
      <c r="C27" s="21"/>
      <c r="D27" s="21"/>
      <c r="E27" s="21"/>
      <c r="F27" s="21"/>
      <c r="G27" s="25"/>
      <c r="H27" s="25"/>
      <c r="I27" s="26" t="str">
        <f aca="false">IFERROR(ABS(H27-G27)/G27,"")</f>
        <v/>
      </c>
      <c r="J27" s="27"/>
      <c r="K27" s="12" t="str">
        <f aca="false">IF(OR(G27="",H27=""),"NOT_ATTEMPTED",IF(I27&lt;=J27,"MATCH","DIVERGE"))</f>
        <v>NOT_ATTEMPTED</v>
      </c>
      <c r="L27" s="21"/>
    </row>
    <row r="28" customFormat="false" ht="15" hidden="false" customHeight="true" outlineLevel="0" collapsed="false">
      <c r="A28" s="8" t="n">
        <v>26</v>
      </c>
      <c r="B28" s="21"/>
      <c r="C28" s="21"/>
      <c r="D28" s="21"/>
      <c r="E28" s="21"/>
      <c r="F28" s="21"/>
      <c r="G28" s="25"/>
      <c r="H28" s="25"/>
      <c r="I28" s="26" t="str">
        <f aca="false">IFERROR(ABS(H28-G28)/G28,"")</f>
        <v/>
      </c>
      <c r="J28" s="27"/>
      <c r="K28" s="12" t="str">
        <f aca="false">IF(OR(G28="",H28=""),"NOT_ATTEMPTED",IF(I28&lt;=J28,"MATCH","DIVERGE"))</f>
        <v>NOT_ATTEMPTED</v>
      </c>
      <c r="L28" s="21"/>
    </row>
    <row r="29" customFormat="false" ht="15" hidden="false" customHeight="true" outlineLevel="0" collapsed="false">
      <c r="A29" s="8" t="n">
        <v>27</v>
      </c>
      <c r="B29" s="21"/>
      <c r="C29" s="21"/>
      <c r="D29" s="21"/>
      <c r="E29" s="21"/>
      <c r="F29" s="21"/>
      <c r="G29" s="25"/>
      <c r="H29" s="25"/>
      <c r="I29" s="26" t="str">
        <f aca="false">IFERROR(ABS(H29-G29)/G29,"")</f>
        <v/>
      </c>
      <c r="J29" s="27"/>
      <c r="K29" s="12" t="str">
        <f aca="false">IF(OR(G29="",H29=""),"NOT_ATTEMPTED",IF(I29&lt;=J29,"MATCH","DIVERGE"))</f>
        <v>NOT_ATTEMPTED</v>
      </c>
      <c r="L29" s="21"/>
    </row>
    <row r="30" customFormat="false" ht="15" hidden="false" customHeight="true" outlineLevel="0" collapsed="false">
      <c r="A30" s="8" t="n">
        <v>28</v>
      </c>
      <c r="B30" s="21"/>
      <c r="C30" s="21"/>
      <c r="D30" s="21"/>
      <c r="E30" s="21"/>
      <c r="F30" s="21"/>
      <c r="G30" s="25"/>
      <c r="H30" s="25"/>
      <c r="I30" s="26" t="str">
        <f aca="false">IFERROR(ABS(H30-G30)/G30,"")</f>
        <v/>
      </c>
      <c r="J30" s="27"/>
      <c r="K30" s="12" t="str">
        <f aca="false">IF(OR(G30="",H30=""),"NOT_ATTEMPTED",IF(I30&lt;=J30,"MATCH","DIVERGE"))</f>
        <v>NOT_ATTEMPTED</v>
      </c>
      <c r="L30" s="21"/>
    </row>
    <row r="31" customFormat="false" ht="15" hidden="false" customHeight="true" outlineLevel="0" collapsed="false">
      <c r="A31" s="8" t="n">
        <v>29</v>
      </c>
      <c r="B31" s="21"/>
      <c r="C31" s="21"/>
      <c r="D31" s="21"/>
      <c r="E31" s="21"/>
      <c r="F31" s="21"/>
      <c r="G31" s="25"/>
      <c r="H31" s="25"/>
      <c r="I31" s="26" t="str">
        <f aca="false">IFERROR(ABS(H31-G31)/G31,"")</f>
        <v/>
      </c>
      <c r="J31" s="27"/>
      <c r="K31" s="12" t="str">
        <f aca="false">IF(OR(G31="",H31=""),"NOT_ATTEMPTED",IF(I31&lt;=J31,"MATCH","DIVERGE"))</f>
        <v>NOT_ATTEMPTED</v>
      </c>
      <c r="L31" s="21"/>
    </row>
    <row r="32" customFormat="false" ht="15" hidden="false" customHeight="true" outlineLevel="0" collapsed="false">
      <c r="A32" s="8" t="n">
        <v>30</v>
      </c>
      <c r="B32" s="21"/>
      <c r="C32" s="21"/>
      <c r="D32" s="21"/>
      <c r="E32" s="21"/>
      <c r="F32" s="21"/>
      <c r="G32" s="25"/>
      <c r="H32" s="25"/>
      <c r="I32" s="26" t="str">
        <f aca="false">IFERROR(ABS(H32-G32)/G32,"")</f>
        <v/>
      </c>
      <c r="J32" s="27"/>
      <c r="K32" s="12" t="str">
        <f aca="false">IF(OR(G32="",H32=""),"NOT_ATTEMPTED",IF(I32&lt;=J32,"MATCH","DIVERGE"))</f>
        <v>NOT_ATTEMPTED</v>
      </c>
      <c r="L32" s="21"/>
    </row>
    <row r="33" customFormat="false" ht="15" hidden="false" customHeight="true" outlineLevel="0" collapsed="false">
      <c r="A33" s="8" t="n">
        <v>31</v>
      </c>
      <c r="B33" s="21"/>
      <c r="C33" s="21"/>
      <c r="D33" s="21"/>
      <c r="E33" s="21"/>
      <c r="F33" s="21"/>
      <c r="G33" s="25"/>
      <c r="H33" s="25"/>
      <c r="I33" s="26" t="str">
        <f aca="false">IFERROR(ABS(H33-G33)/G33,"")</f>
        <v/>
      </c>
      <c r="J33" s="27"/>
      <c r="K33" s="12" t="str">
        <f aca="false">IF(OR(G33="",H33=""),"NOT_ATTEMPTED",IF(I33&lt;=J33,"MATCH","DIVERGE"))</f>
        <v>NOT_ATTEMPTED</v>
      </c>
      <c r="L33" s="21"/>
    </row>
    <row r="34" customFormat="false" ht="15" hidden="false" customHeight="true" outlineLevel="0" collapsed="false">
      <c r="A34" s="8" t="n">
        <v>32</v>
      </c>
      <c r="B34" s="21"/>
      <c r="C34" s="21"/>
      <c r="D34" s="21"/>
      <c r="E34" s="21"/>
      <c r="F34" s="21"/>
      <c r="G34" s="25"/>
      <c r="H34" s="25"/>
      <c r="I34" s="26" t="str">
        <f aca="false">IFERROR(ABS(H34-G34)/G34,"")</f>
        <v/>
      </c>
      <c r="J34" s="27"/>
      <c r="K34" s="12" t="str">
        <f aca="false">IF(OR(G34="",H34=""),"NOT_ATTEMPTED",IF(I34&lt;=J34,"MATCH","DIVERGE"))</f>
        <v>NOT_ATTEMPTED</v>
      </c>
      <c r="L34" s="21"/>
    </row>
    <row r="35" customFormat="false" ht="15" hidden="false" customHeight="true" outlineLevel="0" collapsed="false">
      <c r="A35" s="8" t="n">
        <v>33</v>
      </c>
      <c r="B35" s="21"/>
      <c r="C35" s="21"/>
      <c r="D35" s="21"/>
      <c r="E35" s="21"/>
      <c r="F35" s="21"/>
      <c r="G35" s="25"/>
      <c r="H35" s="25"/>
      <c r="I35" s="26" t="str">
        <f aca="false">IFERROR(ABS(H35-G35)/G35,"")</f>
        <v/>
      </c>
      <c r="J35" s="27"/>
      <c r="K35" s="12" t="str">
        <f aca="false">IF(OR(G35="",H35=""),"NOT_ATTEMPTED",IF(I35&lt;=J35,"MATCH","DIVERGE"))</f>
        <v>NOT_ATTEMPTED</v>
      </c>
      <c r="L35" s="21"/>
    </row>
    <row r="36" customFormat="false" ht="15" hidden="false" customHeight="true" outlineLevel="0" collapsed="false">
      <c r="A36" s="8" t="n">
        <v>34</v>
      </c>
      <c r="B36" s="21"/>
      <c r="C36" s="21"/>
      <c r="D36" s="21"/>
      <c r="E36" s="21"/>
      <c r="F36" s="21"/>
      <c r="G36" s="25"/>
      <c r="H36" s="25"/>
      <c r="I36" s="26" t="str">
        <f aca="false">IFERROR(ABS(H36-G36)/G36,"")</f>
        <v/>
      </c>
      <c r="J36" s="27"/>
      <c r="K36" s="12" t="str">
        <f aca="false">IF(OR(G36="",H36=""),"NOT_ATTEMPTED",IF(I36&lt;=J36,"MATCH","DIVERGE"))</f>
        <v>NOT_ATTEMPTED</v>
      </c>
      <c r="L36" s="21"/>
    </row>
    <row r="37" customFormat="false" ht="15" hidden="false" customHeight="true" outlineLevel="0" collapsed="false">
      <c r="A37" s="8" t="n">
        <v>35</v>
      </c>
      <c r="B37" s="21"/>
      <c r="C37" s="21"/>
      <c r="D37" s="21"/>
      <c r="E37" s="21"/>
      <c r="F37" s="21"/>
      <c r="G37" s="25"/>
      <c r="H37" s="25"/>
      <c r="I37" s="26" t="str">
        <f aca="false">IFERROR(ABS(H37-G37)/G37,"")</f>
        <v/>
      </c>
      <c r="J37" s="27"/>
      <c r="K37" s="12" t="str">
        <f aca="false">IF(OR(G37="",H37=""),"NOT_ATTEMPTED",IF(I37&lt;=J37,"MATCH","DIVERGE"))</f>
        <v>NOT_ATTEMPTED</v>
      </c>
      <c r="L37" s="21"/>
    </row>
    <row r="38" customFormat="false" ht="15" hidden="false" customHeight="true" outlineLevel="0" collapsed="false">
      <c r="A38" s="8" t="n">
        <v>36</v>
      </c>
      <c r="B38" s="21"/>
      <c r="C38" s="21"/>
      <c r="D38" s="21"/>
      <c r="E38" s="21"/>
      <c r="F38" s="21"/>
      <c r="G38" s="25"/>
      <c r="H38" s="25"/>
      <c r="I38" s="26" t="str">
        <f aca="false">IFERROR(ABS(H38-G38)/G38,"")</f>
        <v/>
      </c>
      <c r="J38" s="27"/>
      <c r="K38" s="12" t="str">
        <f aca="false">IF(OR(G38="",H38=""),"NOT_ATTEMPTED",IF(I38&lt;=J38,"MATCH","DIVERGE"))</f>
        <v>NOT_ATTEMPTED</v>
      </c>
      <c r="L38" s="21"/>
    </row>
    <row r="39" customFormat="false" ht="15" hidden="false" customHeight="true" outlineLevel="0" collapsed="false">
      <c r="A39" s="8" t="n">
        <v>37</v>
      </c>
      <c r="B39" s="21"/>
      <c r="C39" s="21"/>
      <c r="D39" s="21"/>
      <c r="E39" s="21"/>
      <c r="F39" s="21"/>
      <c r="G39" s="25"/>
      <c r="H39" s="25"/>
      <c r="I39" s="26" t="str">
        <f aca="false">IFERROR(ABS(H39-G39)/G39,"")</f>
        <v/>
      </c>
      <c r="J39" s="27"/>
      <c r="K39" s="12" t="str">
        <f aca="false">IF(OR(G39="",H39=""),"NOT_ATTEMPTED",IF(I39&lt;=J39,"MATCH","DIVERGE"))</f>
        <v>NOT_ATTEMPTED</v>
      </c>
      <c r="L39" s="21"/>
    </row>
    <row r="40" customFormat="false" ht="15" hidden="false" customHeight="true" outlineLevel="0" collapsed="false">
      <c r="A40" s="8" t="n">
        <v>38</v>
      </c>
      <c r="B40" s="21"/>
      <c r="C40" s="21"/>
      <c r="D40" s="21"/>
      <c r="E40" s="21"/>
      <c r="F40" s="21"/>
      <c r="G40" s="25"/>
      <c r="H40" s="25"/>
      <c r="I40" s="26" t="str">
        <f aca="false">IFERROR(ABS(H40-G40)/G40,"")</f>
        <v/>
      </c>
      <c r="J40" s="27"/>
      <c r="K40" s="12" t="str">
        <f aca="false">IF(OR(G40="",H40=""),"NOT_ATTEMPTED",IF(I40&lt;=J40,"MATCH","DIVERGE"))</f>
        <v>NOT_ATTEMPTED</v>
      </c>
      <c r="L40" s="21"/>
    </row>
    <row r="41" customFormat="false" ht="15" hidden="false" customHeight="true" outlineLevel="0" collapsed="false">
      <c r="A41" s="8" t="n">
        <v>39</v>
      </c>
      <c r="B41" s="21"/>
      <c r="C41" s="21"/>
      <c r="D41" s="21"/>
      <c r="E41" s="21"/>
      <c r="F41" s="21"/>
      <c r="G41" s="25"/>
      <c r="H41" s="25"/>
      <c r="I41" s="26" t="str">
        <f aca="false">IFERROR(ABS(H41-G41)/G41,"")</f>
        <v/>
      </c>
      <c r="J41" s="27"/>
      <c r="K41" s="12" t="str">
        <f aca="false">IF(OR(G41="",H41=""),"NOT_ATTEMPTED",IF(I41&lt;=J41,"MATCH","DIVERGE"))</f>
        <v>NOT_ATTEMPTED</v>
      </c>
      <c r="L41" s="21"/>
    </row>
    <row r="42" customFormat="false" ht="15" hidden="false" customHeight="true" outlineLevel="0" collapsed="false">
      <c r="A42" s="8" t="n">
        <v>40</v>
      </c>
      <c r="B42" s="21"/>
      <c r="C42" s="21"/>
      <c r="D42" s="21"/>
      <c r="E42" s="21"/>
      <c r="F42" s="21"/>
      <c r="G42" s="25"/>
      <c r="H42" s="25"/>
      <c r="I42" s="26" t="str">
        <f aca="false">IFERROR(ABS(H42-G42)/G42,"")</f>
        <v/>
      </c>
      <c r="J42" s="27"/>
      <c r="K42" s="12" t="str">
        <f aca="false">IF(OR(G42="",H42=""),"NOT_ATTEMPTED",IF(I42&lt;=J42,"MATCH","DIVERGE"))</f>
        <v>NOT_ATTEMPTED</v>
      </c>
      <c r="L42" s="21"/>
    </row>
    <row r="43" customFormat="false" ht="15" hidden="false" customHeight="true" outlineLevel="0" collapsed="false">
      <c r="A43" s="8" t="n">
        <v>41</v>
      </c>
      <c r="B43" s="21"/>
      <c r="C43" s="21"/>
      <c r="D43" s="21"/>
      <c r="E43" s="21"/>
      <c r="F43" s="21"/>
      <c r="G43" s="25"/>
      <c r="H43" s="25"/>
      <c r="I43" s="26" t="str">
        <f aca="false">IFERROR(ABS(H43-G43)/G43,"")</f>
        <v/>
      </c>
      <c r="J43" s="27"/>
      <c r="K43" s="12" t="str">
        <f aca="false">IF(OR(G43="",H43=""),"NOT_ATTEMPTED",IF(I43&lt;=J43,"MATCH","DIVERGE"))</f>
        <v>NOT_ATTEMPTED</v>
      </c>
      <c r="L43" s="21"/>
    </row>
    <row r="44" customFormat="false" ht="15" hidden="false" customHeight="true" outlineLevel="0" collapsed="false">
      <c r="A44" s="8" t="n">
        <v>42</v>
      </c>
      <c r="B44" s="21"/>
      <c r="C44" s="21"/>
      <c r="D44" s="21"/>
      <c r="E44" s="21"/>
      <c r="F44" s="21"/>
      <c r="G44" s="25"/>
      <c r="H44" s="25"/>
      <c r="I44" s="26" t="str">
        <f aca="false">IFERROR(ABS(H44-G44)/G44,"")</f>
        <v/>
      </c>
      <c r="J44" s="27"/>
      <c r="K44" s="12" t="str">
        <f aca="false">IF(OR(G44="",H44=""),"NOT_ATTEMPTED",IF(I44&lt;=J44,"MATCH","DIVERGE"))</f>
        <v>NOT_ATTEMPTED</v>
      </c>
      <c r="L44" s="21"/>
    </row>
    <row r="45" customFormat="false" ht="15" hidden="false" customHeight="true" outlineLevel="0" collapsed="false">
      <c r="A45" s="8" t="n">
        <v>43</v>
      </c>
      <c r="B45" s="21"/>
      <c r="C45" s="21"/>
      <c r="D45" s="21"/>
      <c r="E45" s="21"/>
      <c r="F45" s="21"/>
      <c r="G45" s="25"/>
      <c r="H45" s="25"/>
      <c r="I45" s="26" t="str">
        <f aca="false">IFERROR(ABS(H45-G45)/G45,"")</f>
        <v/>
      </c>
      <c r="J45" s="27"/>
      <c r="K45" s="12" t="str">
        <f aca="false">IF(OR(G45="",H45=""),"NOT_ATTEMPTED",IF(I45&lt;=J45,"MATCH","DIVERGE"))</f>
        <v>NOT_ATTEMPTED</v>
      </c>
      <c r="L45" s="21"/>
    </row>
    <row r="46" customFormat="false" ht="15" hidden="false" customHeight="true" outlineLevel="0" collapsed="false">
      <c r="A46" s="8" t="n">
        <v>44</v>
      </c>
      <c r="B46" s="21"/>
      <c r="C46" s="21"/>
      <c r="D46" s="21"/>
      <c r="E46" s="21"/>
      <c r="F46" s="21"/>
      <c r="G46" s="25"/>
      <c r="H46" s="25"/>
      <c r="I46" s="26" t="str">
        <f aca="false">IFERROR(ABS(H46-G46)/G46,"")</f>
        <v/>
      </c>
      <c r="J46" s="27"/>
      <c r="K46" s="12" t="str">
        <f aca="false">IF(OR(G46="",H46=""),"NOT_ATTEMPTED",IF(I46&lt;=J46,"MATCH","DIVERGE"))</f>
        <v>NOT_ATTEMPTED</v>
      </c>
      <c r="L46" s="21"/>
    </row>
    <row r="47" customFormat="false" ht="15" hidden="false" customHeight="true" outlineLevel="0" collapsed="false">
      <c r="A47" s="8" t="n">
        <v>45</v>
      </c>
      <c r="B47" s="21"/>
      <c r="C47" s="21"/>
      <c r="D47" s="21"/>
      <c r="E47" s="21"/>
      <c r="F47" s="21"/>
      <c r="G47" s="25"/>
      <c r="H47" s="25"/>
      <c r="I47" s="26" t="str">
        <f aca="false">IFERROR(ABS(H47-G47)/G47,"")</f>
        <v/>
      </c>
      <c r="J47" s="27"/>
      <c r="K47" s="12" t="str">
        <f aca="false">IF(OR(G47="",H47=""),"NOT_ATTEMPTED",IF(I47&lt;=J47,"MATCH","DIVERGE"))</f>
        <v>NOT_ATTEMPTED</v>
      </c>
      <c r="L47" s="21"/>
    </row>
    <row r="48" customFormat="false" ht="15" hidden="false" customHeight="true" outlineLevel="0" collapsed="false">
      <c r="A48" s="8" t="n">
        <v>46</v>
      </c>
      <c r="B48" s="21"/>
      <c r="C48" s="21"/>
      <c r="D48" s="21"/>
      <c r="E48" s="21"/>
      <c r="F48" s="21"/>
      <c r="G48" s="25"/>
      <c r="H48" s="25"/>
      <c r="I48" s="26" t="str">
        <f aca="false">IFERROR(ABS(H48-G48)/G48,"")</f>
        <v/>
      </c>
      <c r="J48" s="27"/>
      <c r="K48" s="12" t="str">
        <f aca="false">IF(OR(G48="",H48=""),"NOT_ATTEMPTED",IF(I48&lt;=J48,"MATCH","DIVERGE"))</f>
        <v>NOT_ATTEMPTED</v>
      </c>
      <c r="L48" s="21"/>
    </row>
    <row r="49" customFormat="false" ht="15" hidden="false" customHeight="true" outlineLevel="0" collapsed="false">
      <c r="A49" s="8" t="n">
        <v>47</v>
      </c>
      <c r="B49" s="21"/>
      <c r="C49" s="21"/>
      <c r="D49" s="21"/>
      <c r="E49" s="21"/>
      <c r="F49" s="21"/>
      <c r="G49" s="25"/>
      <c r="H49" s="25"/>
      <c r="I49" s="26" t="str">
        <f aca="false">IFERROR(ABS(H49-G49)/G49,"")</f>
        <v/>
      </c>
      <c r="J49" s="27"/>
      <c r="K49" s="12" t="str">
        <f aca="false">IF(OR(G49="",H49=""),"NOT_ATTEMPTED",IF(I49&lt;=J49,"MATCH","DIVERGE"))</f>
        <v>NOT_ATTEMPTED</v>
      </c>
      <c r="L49" s="21"/>
    </row>
    <row r="50" customFormat="false" ht="15" hidden="false" customHeight="true" outlineLevel="0" collapsed="false">
      <c r="A50" s="8" t="n">
        <v>48</v>
      </c>
      <c r="B50" s="21"/>
      <c r="C50" s="21"/>
      <c r="D50" s="21"/>
      <c r="E50" s="21"/>
      <c r="F50" s="21"/>
      <c r="G50" s="25"/>
      <c r="H50" s="25"/>
      <c r="I50" s="26" t="str">
        <f aca="false">IFERROR(ABS(H50-G50)/G50,"")</f>
        <v/>
      </c>
      <c r="J50" s="27"/>
      <c r="K50" s="12" t="str">
        <f aca="false">IF(OR(G50="",H50=""),"NOT_ATTEMPTED",IF(I50&lt;=J50,"MATCH","DIVERGE"))</f>
        <v>NOT_ATTEMPTED</v>
      </c>
      <c r="L50" s="21"/>
    </row>
    <row r="51" customFormat="false" ht="15" hidden="false" customHeight="true" outlineLevel="0" collapsed="false">
      <c r="A51" s="8" t="n">
        <v>49</v>
      </c>
      <c r="B51" s="21"/>
      <c r="C51" s="21"/>
      <c r="D51" s="21"/>
      <c r="E51" s="21"/>
      <c r="F51" s="21"/>
      <c r="G51" s="25"/>
      <c r="H51" s="25"/>
      <c r="I51" s="26" t="str">
        <f aca="false">IFERROR(ABS(H51-G51)/G51,"")</f>
        <v/>
      </c>
      <c r="J51" s="27"/>
      <c r="K51" s="12" t="str">
        <f aca="false">IF(OR(G51="",H51=""),"NOT_ATTEMPTED",IF(I51&lt;=J51,"MATCH","DIVERGE"))</f>
        <v>NOT_ATTEMPTED</v>
      </c>
      <c r="L51" s="21"/>
    </row>
    <row r="52" customFormat="false" ht="15" hidden="false" customHeight="true" outlineLevel="0" collapsed="false">
      <c r="A52" s="8" t="n">
        <v>50</v>
      </c>
      <c r="B52" s="21"/>
      <c r="C52" s="21"/>
      <c r="D52" s="21"/>
      <c r="E52" s="21"/>
      <c r="F52" s="21"/>
      <c r="G52" s="25"/>
      <c r="H52" s="25"/>
      <c r="I52" s="26" t="str">
        <f aca="false">IFERROR(ABS(H52-G52)/G52,"")</f>
        <v/>
      </c>
      <c r="J52" s="27"/>
      <c r="K52" s="12" t="str">
        <f aca="false">IF(OR(G52="",H52=""),"NOT_ATTEMPTED",IF(I52&lt;=J52,"MATCH","DIVERGE"))</f>
        <v>NOT_ATTEMPTED</v>
      </c>
      <c r="L52" s="21"/>
    </row>
    <row r="53" customFormat="false" ht="15" hidden="false" customHeight="true" outlineLevel="0" collapsed="false">
      <c r="A53" s="8" t="n">
        <v>51</v>
      </c>
      <c r="B53" s="21"/>
      <c r="C53" s="21"/>
      <c r="D53" s="21"/>
      <c r="E53" s="21"/>
      <c r="F53" s="21"/>
      <c r="G53" s="25"/>
      <c r="H53" s="25"/>
      <c r="I53" s="26" t="str">
        <f aca="false">IFERROR(ABS(H53-G53)/G53,"")</f>
        <v/>
      </c>
      <c r="J53" s="27"/>
      <c r="K53" s="12" t="str">
        <f aca="false">IF(OR(G53="",H53=""),"NOT_ATTEMPTED",IF(I53&lt;=J53,"MATCH","DIVERGE"))</f>
        <v>NOT_ATTEMPTED</v>
      </c>
      <c r="L53" s="21"/>
    </row>
    <row r="54" customFormat="false" ht="15" hidden="false" customHeight="true" outlineLevel="0" collapsed="false">
      <c r="A54" s="8" t="n">
        <v>52</v>
      </c>
      <c r="B54" s="21"/>
      <c r="C54" s="21"/>
      <c r="D54" s="21"/>
      <c r="E54" s="21"/>
      <c r="F54" s="21"/>
      <c r="G54" s="25"/>
      <c r="H54" s="25"/>
      <c r="I54" s="26" t="str">
        <f aca="false">IFERROR(ABS(H54-G54)/G54,"")</f>
        <v/>
      </c>
      <c r="J54" s="27"/>
      <c r="K54" s="12" t="str">
        <f aca="false">IF(OR(G54="",H54=""),"NOT_ATTEMPTED",IF(I54&lt;=J54,"MATCH","DIVERGE"))</f>
        <v>NOT_ATTEMPTED</v>
      </c>
      <c r="L54" s="21"/>
    </row>
    <row r="55" customFormat="false" ht="15" hidden="false" customHeight="true" outlineLevel="0" collapsed="false">
      <c r="A55" s="8" t="n">
        <v>53</v>
      </c>
      <c r="B55" s="21"/>
      <c r="C55" s="21"/>
      <c r="D55" s="21"/>
      <c r="E55" s="21"/>
      <c r="F55" s="21"/>
      <c r="G55" s="25"/>
      <c r="H55" s="25"/>
      <c r="I55" s="26" t="str">
        <f aca="false">IFERROR(ABS(H55-G55)/G55,"")</f>
        <v/>
      </c>
      <c r="J55" s="27"/>
      <c r="K55" s="12" t="str">
        <f aca="false">IF(OR(G55="",H55=""),"NOT_ATTEMPTED",IF(I55&lt;=J55,"MATCH","DIVERGE"))</f>
        <v>NOT_ATTEMPTED</v>
      </c>
      <c r="L55" s="21"/>
    </row>
    <row r="56" customFormat="false" ht="15" hidden="false" customHeight="true" outlineLevel="0" collapsed="false">
      <c r="A56" s="8" t="n">
        <v>54</v>
      </c>
      <c r="B56" s="21"/>
      <c r="C56" s="21"/>
      <c r="D56" s="21"/>
      <c r="E56" s="21"/>
      <c r="F56" s="21"/>
      <c r="G56" s="25"/>
      <c r="H56" s="25"/>
      <c r="I56" s="26" t="str">
        <f aca="false">IFERROR(ABS(H56-G56)/G56,"")</f>
        <v/>
      </c>
      <c r="J56" s="27"/>
      <c r="K56" s="12" t="str">
        <f aca="false">IF(OR(G56="",H56=""),"NOT_ATTEMPTED",IF(I56&lt;=J56,"MATCH","DIVERGE"))</f>
        <v>NOT_ATTEMPTED</v>
      </c>
      <c r="L56" s="21"/>
    </row>
    <row r="57" customFormat="false" ht="15" hidden="false" customHeight="true" outlineLevel="0" collapsed="false">
      <c r="A57" s="8" t="n">
        <v>55</v>
      </c>
      <c r="B57" s="21"/>
      <c r="C57" s="21"/>
      <c r="D57" s="21"/>
      <c r="E57" s="21"/>
      <c r="F57" s="21"/>
      <c r="G57" s="25"/>
      <c r="H57" s="25"/>
      <c r="I57" s="26" t="str">
        <f aca="false">IFERROR(ABS(H57-G57)/G57,"")</f>
        <v/>
      </c>
      <c r="J57" s="27"/>
      <c r="K57" s="12" t="str">
        <f aca="false">IF(OR(G57="",H57=""),"NOT_ATTEMPTED",IF(I57&lt;=J57,"MATCH","DIVERGE"))</f>
        <v>NOT_ATTEMPTED</v>
      </c>
      <c r="L57" s="21"/>
    </row>
    <row r="58" customFormat="false" ht="15" hidden="false" customHeight="true" outlineLevel="0" collapsed="false">
      <c r="A58" s="8" t="n">
        <v>56</v>
      </c>
      <c r="B58" s="21"/>
      <c r="C58" s="21"/>
      <c r="D58" s="21"/>
      <c r="E58" s="21"/>
      <c r="F58" s="21"/>
      <c r="G58" s="25"/>
      <c r="H58" s="25"/>
      <c r="I58" s="26" t="str">
        <f aca="false">IFERROR(ABS(H58-G58)/G58,"")</f>
        <v/>
      </c>
      <c r="J58" s="27"/>
      <c r="K58" s="12" t="str">
        <f aca="false">IF(OR(G58="",H58=""),"NOT_ATTEMPTED",IF(I58&lt;=J58,"MATCH","DIVERGE"))</f>
        <v>NOT_ATTEMPTED</v>
      </c>
      <c r="L58" s="21"/>
    </row>
    <row r="59" customFormat="false" ht="15" hidden="false" customHeight="true" outlineLevel="0" collapsed="false">
      <c r="A59" s="8" t="n">
        <v>57</v>
      </c>
      <c r="B59" s="21"/>
      <c r="C59" s="21"/>
      <c r="D59" s="21"/>
      <c r="E59" s="21"/>
      <c r="F59" s="21"/>
      <c r="G59" s="25"/>
      <c r="H59" s="25"/>
      <c r="I59" s="26" t="str">
        <f aca="false">IFERROR(ABS(H59-G59)/G59,"")</f>
        <v/>
      </c>
      <c r="J59" s="27"/>
      <c r="K59" s="12" t="str">
        <f aca="false">IF(OR(G59="",H59=""),"NOT_ATTEMPTED",IF(I59&lt;=J59,"MATCH","DIVERGE"))</f>
        <v>NOT_ATTEMPTED</v>
      </c>
      <c r="L59" s="21"/>
    </row>
    <row r="60" customFormat="false" ht="15" hidden="false" customHeight="true" outlineLevel="0" collapsed="false">
      <c r="A60" s="8" t="n">
        <v>58</v>
      </c>
      <c r="B60" s="21"/>
      <c r="C60" s="21"/>
      <c r="D60" s="21"/>
      <c r="E60" s="21"/>
      <c r="F60" s="21"/>
      <c r="G60" s="25"/>
      <c r="H60" s="25"/>
      <c r="I60" s="26" t="str">
        <f aca="false">IFERROR(ABS(H60-G60)/G60,"")</f>
        <v/>
      </c>
      <c r="J60" s="27"/>
      <c r="K60" s="12" t="str">
        <f aca="false">IF(OR(G60="",H60=""),"NOT_ATTEMPTED",IF(I60&lt;=J60,"MATCH","DIVERGE"))</f>
        <v>NOT_ATTEMPTED</v>
      </c>
      <c r="L60" s="21"/>
    </row>
    <row r="61" customFormat="false" ht="15" hidden="false" customHeight="true" outlineLevel="0" collapsed="false">
      <c r="A61" s="8" t="n">
        <v>59</v>
      </c>
      <c r="B61" s="21"/>
      <c r="C61" s="21"/>
      <c r="D61" s="21"/>
      <c r="E61" s="21"/>
      <c r="F61" s="21"/>
      <c r="G61" s="25"/>
      <c r="H61" s="25"/>
      <c r="I61" s="26" t="str">
        <f aca="false">IFERROR(ABS(H61-G61)/G61,"")</f>
        <v/>
      </c>
      <c r="J61" s="27"/>
      <c r="K61" s="12" t="str">
        <f aca="false">IF(OR(G61="",H61=""),"NOT_ATTEMPTED",IF(I61&lt;=J61,"MATCH","DIVERGE"))</f>
        <v>NOT_ATTEMPTED</v>
      </c>
      <c r="L61" s="21"/>
    </row>
    <row r="62" customFormat="false" ht="15" hidden="false" customHeight="true" outlineLevel="0" collapsed="false">
      <c r="A62" s="8" t="n">
        <v>60</v>
      </c>
      <c r="B62" s="21"/>
      <c r="C62" s="21"/>
      <c r="D62" s="21"/>
      <c r="E62" s="21"/>
      <c r="F62" s="21"/>
      <c r="G62" s="25"/>
      <c r="H62" s="25"/>
      <c r="I62" s="26" t="str">
        <f aca="false">IFERROR(ABS(H62-G62)/G62,"")</f>
        <v/>
      </c>
      <c r="J62" s="27"/>
      <c r="K62" s="12" t="str">
        <f aca="false">IF(OR(G62="",H62=""),"NOT_ATTEMPTED",IF(I62&lt;=J62,"MATCH","DIVERGE"))</f>
        <v>NOT_ATTEMPTED</v>
      </c>
      <c r="L62" s="21"/>
    </row>
  </sheetData>
  <dataValidations count="1">
    <dataValidation allowBlank="true" errorStyle="stop" operator="between" showDropDown="false" showErrorMessage="false" showInputMessage="false" sqref="C3:C62" type="list">
      <formula1>"A,B"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32"/>
    <col collapsed="false" customWidth="true" hidden="false" outlineLevel="0" max="6" min="2" style="5" width="13"/>
    <col collapsed="false" customWidth="true" hidden="false" outlineLevel="0" max="7" min="7" style="5" width="58"/>
  </cols>
  <sheetData>
    <row r="1" customFormat="false" ht="15.75" hidden="false" customHeight="true" outlineLevel="0" collapsed="false">
      <c r="A1" s="28" t="s">
        <v>246</v>
      </c>
    </row>
    <row r="2" customFormat="false" ht="15" hidden="false" customHeight="true" outlineLevel="0" collapsed="false">
      <c r="A2" s="8" t="s">
        <v>247</v>
      </c>
    </row>
    <row r="4" customFormat="false" ht="15" hidden="false" customHeight="true" outlineLevel="0" collapsed="false">
      <c r="A4" s="29" t="s">
        <v>248</v>
      </c>
    </row>
    <row r="5" customFormat="false" ht="30" hidden="false" customHeight="true" outlineLevel="0" collapsed="false">
      <c r="A5" s="11"/>
      <c r="B5" s="18" t="s">
        <v>249</v>
      </c>
      <c r="C5" s="18" t="s">
        <v>250</v>
      </c>
      <c r="D5" s="18" t="s">
        <v>251</v>
      </c>
      <c r="E5" s="18" t="s">
        <v>252</v>
      </c>
      <c r="F5" s="11"/>
      <c r="G5" s="11"/>
    </row>
    <row r="6" customFormat="false" ht="15" hidden="false" customHeight="true" outlineLevel="0" collapsed="false">
      <c r="A6" s="12" t="s">
        <v>207</v>
      </c>
      <c r="B6" s="12" t="n">
        <f aca="false">COUNTIFS('执行记录 Runs'!$C$3:$C$30,"A",'执行记录 Runs'!$D$3:$D$30,"RL0")</f>
        <v>20</v>
      </c>
      <c r="C6" s="30" t="n">
        <f aca="false">IFERROR(B6/$B$11,"")</f>
        <v>1</v>
      </c>
      <c r="D6" s="12" t="n">
        <f aca="false">COUNTIFS('执行记录 Runs'!$C$3:$C$30,"B",'执行记录 Runs'!$D$3:$D$30,"RL0")</f>
        <v>0</v>
      </c>
      <c r="E6" s="30" t="str">
        <f aca="false">IFERROR(D6/$D$11,"")</f>
        <v/>
      </c>
    </row>
    <row r="7" customFormat="false" ht="15" hidden="false" customHeight="true" outlineLevel="0" collapsed="false">
      <c r="A7" s="12" t="s">
        <v>203</v>
      </c>
      <c r="B7" s="12" t="n">
        <f aca="false">COUNTIFS('执行记录 Runs'!$C$3:$C$30,"A",'执行记录 Runs'!$D$3:$D$30,"RL1")</f>
        <v>0</v>
      </c>
      <c r="C7" s="30" t="n">
        <f aca="false">IFERROR(B7/$B$11,"")</f>
        <v>0</v>
      </c>
      <c r="D7" s="12" t="n">
        <f aca="false">COUNTIFS('执行记录 Runs'!$C$3:$C$30,"B",'执行记录 Runs'!$D$3:$D$30,"RL1")</f>
        <v>0</v>
      </c>
      <c r="E7" s="30" t="str">
        <f aca="false">IFERROR(D7/$D$11,"")</f>
        <v/>
      </c>
    </row>
    <row r="8" customFormat="false" ht="15" hidden="false" customHeight="true" outlineLevel="0" collapsed="false">
      <c r="A8" s="12" t="s">
        <v>253</v>
      </c>
      <c r="B8" s="12" t="n">
        <f aca="false">COUNTIFS('执行记录 Runs'!$C$3:$C$30,"A",'执行记录 Runs'!$D$3:$D$30,"RL2")</f>
        <v>0</v>
      </c>
      <c r="C8" s="30" t="n">
        <f aca="false">IFERROR(B8/$B$11,"")</f>
        <v>0</v>
      </c>
      <c r="D8" s="12" t="n">
        <f aca="false">COUNTIFS('执行记录 Runs'!$C$3:$C$30,"B",'执行记录 Runs'!$D$3:$D$30,"RL2")</f>
        <v>0</v>
      </c>
      <c r="E8" s="30" t="str">
        <f aca="false">IFERROR(D8/$D$11,"")</f>
        <v/>
      </c>
    </row>
    <row r="9" customFormat="false" ht="15" hidden="false" customHeight="true" outlineLevel="0" collapsed="false">
      <c r="A9" s="12" t="s">
        <v>254</v>
      </c>
      <c r="B9" s="12" t="n">
        <f aca="false">COUNTIFS('执行记录 Runs'!$C$3:$C$30,"A",'执行记录 Runs'!$D$3:$D$30,"RL3")</f>
        <v>0</v>
      </c>
      <c r="C9" s="30" t="n">
        <f aca="false">IFERROR(B9/$B$11,"")</f>
        <v>0</v>
      </c>
      <c r="D9" s="12" t="n">
        <f aca="false">COUNTIFS('执行记录 Runs'!$C$3:$C$30,"B",'执行记录 Runs'!$D$3:$D$30,"RL3")</f>
        <v>0</v>
      </c>
      <c r="E9" s="30" t="str">
        <f aca="false">IFERROR(D9/$D$11,"")</f>
        <v/>
      </c>
    </row>
    <row r="10" customFormat="false" ht="15" hidden="false" customHeight="true" outlineLevel="0" collapsed="false">
      <c r="A10" s="12" t="s">
        <v>255</v>
      </c>
      <c r="B10" s="12" t="n">
        <f aca="false">COUNTIFS('执行记录 Runs'!$C$3:$C$30,"A",'执行记录 Runs'!$D$3:$D$30,"RL4")</f>
        <v>0</v>
      </c>
      <c r="C10" s="30" t="n">
        <f aca="false">IFERROR(B10/$B$11,"")</f>
        <v>0</v>
      </c>
      <c r="D10" s="12" t="n">
        <f aca="false">COUNTIFS('执行记录 Runs'!$C$3:$C$30,"B",'执行记录 Runs'!$D$3:$D$30,"RL4")</f>
        <v>0</v>
      </c>
      <c r="E10" s="30" t="str">
        <f aca="false">IFERROR(D10/$D$11,"")</f>
        <v/>
      </c>
    </row>
    <row r="11" customFormat="false" ht="15" hidden="false" customHeight="true" outlineLevel="0" collapsed="false">
      <c r="A11" s="31" t="s">
        <v>256</v>
      </c>
      <c r="B11" s="29" t="n">
        <f aca="false">COUNTIFS('执行记录 Runs'!$C$3:$C$30,"A")</f>
        <v>20</v>
      </c>
      <c r="D11" s="29" t="n">
        <f aca="false">COUNTIFS('执行记录 Runs'!$C$3:$C$30,"B")</f>
        <v>0</v>
      </c>
    </row>
    <row r="14" customFormat="false" ht="15" hidden="false" customHeight="true" outlineLevel="0" collapsed="false">
      <c r="A14" s="31" t="s">
        <v>257</v>
      </c>
    </row>
    <row r="15" customFormat="false" ht="30" hidden="false" customHeight="true" outlineLevel="0" collapsed="false">
      <c r="A15" s="11"/>
      <c r="B15" s="11" t="s">
        <v>258</v>
      </c>
      <c r="C15" s="11" t="s">
        <v>259</v>
      </c>
      <c r="D15" s="11" t="s">
        <v>260</v>
      </c>
      <c r="E15" s="18" t="s">
        <v>261</v>
      </c>
      <c r="F15" s="11"/>
      <c r="G15" s="11" t="s">
        <v>262</v>
      </c>
    </row>
    <row r="16" customFormat="false" ht="29.25" hidden="false" customHeight="true" outlineLevel="0" collapsed="false">
      <c r="A16" s="12" t="s">
        <v>263</v>
      </c>
      <c r="B16" s="30" t="n">
        <f aca="false">IFERROR(COUNTIFS('执行记录 Runs'!$C$3:$C$30,"A",'执行记录 Runs'!$E$3:$E$30,"&gt;=3")/B11,"")</f>
        <v>0</v>
      </c>
      <c r="C16" s="32" t="n">
        <f aca="false">IFERROR(((B16+'参数 Params'!$B$10^2/(2*B11))-'参数 Params'!$B$10*SQRT((B16*(1-B16)+'参数 Params'!$B$10^2/(4*B11))/B11))/(1+'参数 Params'!$B$10^2/B11),"")</f>
        <v>0</v>
      </c>
      <c r="D16" s="32" t="n">
        <f aca="false">IFERROR(((B16+'参数 Params'!$B$10^2/(2*B11))+'参数 Params'!$B$10*SQRT((B16*(1-B16)+'参数 Params'!$B$10^2/(4*B11))/B11))/(1+'参数 Params'!$B$10^2/B11),"")</f>
        <v>0.161130125494933</v>
      </c>
      <c r="E16" s="12" t="n">
        <f aca="false">B11</f>
        <v>20</v>
      </c>
      <c r="F16" s="33"/>
      <c r="G16" s="15" t="s">
        <v>264</v>
      </c>
    </row>
    <row r="17" customFormat="false" ht="15" hidden="false" customHeight="true" outlineLevel="0" collapsed="false">
      <c r="A17" s="12" t="s">
        <v>265</v>
      </c>
      <c r="B17" s="30" t="n">
        <f aca="false">IFERROR(COUNTIFS('执行记录 Runs'!$C$3:$C$30,"A",'执行记录 Runs'!$E$3:$E$30,"&gt;=1")/B11,"")</f>
        <v>0</v>
      </c>
      <c r="C17" s="32" t="n">
        <f aca="false">IFERROR(((B17+'参数 Params'!$B$10^2/(2*B11))-'参数 Params'!$B$10*SQRT((B17*(1-B17)+'参数 Params'!$B$10^2/(4*B11))/B11))/(1+'参数 Params'!$B$10^2/B11),"")</f>
        <v>0</v>
      </c>
      <c r="D17" s="32" t="n">
        <f aca="false">IFERROR(((B17+'参数 Params'!$B$10^2/(2*B11))+'参数 Params'!$B$10*SQRT((B17*(1-B17)+'参数 Params'!$B$10^2/(4*B11))/B11))/(1+'参数 Params'!$B$10^2/B11),"")</f>
        <v>0.161130125494933</v>
      </c>
      <c r="E17" s="12" t="n">
        <f aca="false">B11</f>
        <v>20</v>
      </c>
      <c r="F17" s="33"/>
      <c r="G17" s="15" t="s">
        <v>266</v>
      </c>
    </row>
    <row r="18" customFormat="false" ht="15" hidden="false" customHeight="true" outlineLevel="0" collapsed="false">
      <c r="A18" s="12" t="s">
        <v>267</v>
      </c>
      <c r="B18" s="30" t="str">
        <f aca="false">IFERROR(COUNTIFS('执行记录 Runs'!$C$3:$C$30,"B",'执行记录 Runs'!$E$3:$E$30,"&gt;=3")/D11,"")</f>
        <v/>
      </c>
      <c r="C18" s="32" t="str">
        <f aca="false">IFERROR(((B18+'参数 Params'!$B$10^2/(2*D11))-'参数 Params'!$B$10*SQRT((B18*(1-B18)+'参数 Params'!$B$10^2/(4*D11))/D11))/(1+'参数 Params'!$B$10^2/D11),"")</f>
        <v/>
      </c>
      <c r="D18" s="32" t="str">
        <f aca="false">IFERROR(((B18+'参数 Params'!$B$10^2/(2*D11))+'参数 Params'!$B$10*SQRT((B18*(1-B18)+'参数 Params'!$B$10^2/(4*D11))/D11))/(1+'参数 Params'!$B$10^2/D11),"")</f>
        <v/>
      </c>
      <c r="E18" s="12" t="n">
        <f aca="false">D11</f>
        <v>0</v>
      </c>
      <c r="F18" s="33"/>
      <c r="G18" s="15" t="s">
        <v>268</v>
      </c>
    </row>
    <row r="19" customFormat="false" ht="15" hidden="false" customHeight="true" outlineLevel="0" collapsed="false">
      <c r="A19" s="12" t="s">
        <v>269</v>
      </c>
      <c r="B19" s="30" t="str">
        <f aca="false">IFERROR(COUNTIFS('执行记录 Runs'!$C$3:$C$30,"B",'执行记录 Runs'!$E$3:$E$30,"&gt;=1")/D11,"")</f>
        <v/>
      </c>
      <c r="C19" s="32" t="str">
        <f aca="false">IFERROR(((B19+'参数 Params'!$B$10^2/(2*D11))-'参数 Params'!$B$10*SQRT((B19*(1-B19)+'参数 Params'!$B$10^2/(4*D11))/D11))/(1+'参数 Params'!$B$10^2/D11),"")</f>
        <v/>
      </c>
      <c r="D19" s="32" t="str">
        <f aca="false">IFERROR(((B19+'参数 Params'!$B$10^2/(2*D11))+'参数 Params'!$B$10*SQRT((B19*(1-B19)+'参数 Params'!$B$10^2/(4*D11))/D11))/(1+'参数 Params'!$B$10^2/D11),"")</f>
        <v/>
      </c>
      <c r="E19" s="12" t="n">
        <f aca="false">D11</f>
        <v>0</v>
      </c>
      <c r="F19" s="33"/>
      <c r="G19" s="16"/>
    </row>
    <row r="21" customFormat="false" ht="15" hidden="false" customHeight="true" outlineLevel="0" collapsed="false">
      <c r="A21" s="31" t="s">
        <v>270</v>
      </c>
    </row>
    <row r="22" customFormat="false" ht="15" hidden="false" customHeight="true" outlineLevel="0" collapsed="false">
      <c r="A22" s="8" t="s">
        <v>271</v>
      </c>
      <c r="B22" s="8" t="n">
        <f aca="false">IFERROR(MEDIAN('执行记录 Runs'!$P$3:$P$30),"")</f>
        <v>0.05</v>
      </c>
    </row>
    <row r="23" customFormat="false" ht="15" hidden="false" customHeight="true" outlineLevel="0" collapsed="false">
      <c r="A23" s="8" t="s">
        <v>272</v>
      </c>
      <c r="B23" s="8" t="n">
        <f aca="false">COUNTIFS('执行记录 Runs'!$C$3:$C$30,"A",'执行记录 Runs'!$G$3:$G$30,"是")</f>
        <v>0</v>
      </c>
      <c r="G23" s="9" t="s">
        <v>273</v>
      </c>
    </row>
    <row r="25" customFormat="false" ht="15" hidden="false" customHeight="true" outlineLevel="0" collapsed="false">
      <c r="A25" s="31" t="s">
        <v>274</v>
      </c>
    </row>
    <row r="26" customFormat="false" ht="15" hidden="false" customHeight="true" outlineLevel="0" collapsed="false">
      <c r="A26" s="9" t="s">
        <v>240</v>
      </c>
      <c r="B26" s="34" t="str">
        <f aca="false">IF(B16="","填入数据后自动判定",IF(AND(ABS(B16-'参数 Params'!$B$11)&lt;='参数 Params'!$B$14),"边界 — 不要硬判，追加 20 篇再决策",IF(B16&gt;='参数 Params'!$B$11,"按现设计推进：CM_MEASURED 为主路径",IF(AND(B16&gt;='参数 Params'!$B$12,B17&gt;='参数 Params'!$B$13),"推进，但以 CM_REPORTED/RL1 为设计中心",IF(B17&gt;='参数 Params'!$B$13,"执行平面保留，放弃「超越报告数值」为主要卖点，转向诊断/评测类贡献","停止建执行平面：ResearchForge 重定位为文献-创新-写作系统")))))</f>
        <v>停止建执行平面：ResearchForge 重定位为文献-创新-写作系统</v>
      </c>
      <c r="C26" s="34"/>
      <c r="D26" s="34"/>
      <c r="E26" s="34"/>
      <c r="F26" s="34"/>
      <c r="G26" s="34"/>
    </row>
    <row r="27" customFormat="false" ht="15" hidden="false" customHeight="true" outlineLevel="0" collapsed="false">
      <c r="A27" s="8" t="s">
        <v>275</v>
      </c>
      <c r="B27" s="35" t="str">
        <f aca="false">IFERROR(B18-B16,"")</f>
        <v/>
      </c>
      <c r="G27" s="9" t="s">
        <v>276</v>
      </c>
    </row>
  </sheetData>
  <mergeCells count="1">
    <mergeCell ref="B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5" width="30"/>
    <col collapsed="false" customWidth="true" hidden="false" outlineLevel="0" max="3" min="2" style="5" width="14"/>
    <col collapsed="false" customWidth="true" hidden="false" outlineLevel="0" max="4" min="4" style="5" width="12"/>
    <col collapsed="false" customWidth="true" hidden="false" outlineLevel="0" max="5" min="5" style="5" width="64"/>
  </cols>
  <sheetData>
    <row r="1" customFormat="false" ht="30" hidden="false" customHeight="true" outlineLevel="0" collapsed="false">
      <c r="A1" s="11" t="s">
        <v>277</v>
      </c>
      <c r="B1" s="18" t="s">
        <v>278</v>
      </c>
      <c r="C1" s="18" t="s">
        <v>279</v>
      </c>
      <c r="D1" s="18" t="s">
        <v>280</v>
      </c>
      <c r="E1" s="11" t="s">
        <v>281</v>
      </c>
    </row>
    <row r="2" customFormat="false" ht="15" hidden="false" customHeight="true" outlineLevel="0" collapsed="false">
      <c r="A2" s="12" t="s">
        <v>211</v>
      </c>
      <c r="B2" s="12" t="n">
        <f aca="false">COUNTIFS('执行记录 Runs'!$C$3:$C$30,"A",'执行记录 Runs'!$K$3:$K$30,A2)+COUNTIFS('执行记录 Runs'!$C$3:$C$30,"A",'执行记录 Runs'!$L$3:$L$30,A2)+COUNTIFS('执行记录 Runs'!$C$3:$C$30,"A",'执行记录 Runs'!$M$3:$M$30,A2)</f>
        <v>4</v>
      </c>
      <c r="C2" s="12" t="n">
        <f aca="false">COUNTIFS('执行记录 Runs'!$C$3:$C$30,"B",'执行记录 Runs'!$K$3:$K$30,A2)+COUNTIFS('执行记录 Runs'!$C$3:$C$30,"B",'执行记录 Runs'!$L$3:$L$30,A2)+COUNTIFS('执行记录 Runs'!$C$3:$C$30,"B",'执行记录 Runs'!$M$3:$M$30,A2)</f>
        <v>0</v>
      </c>
      <c r="D2" s="32" t="n">
        <f aca="false">IFERROR(B2/SUM($B$2:$B$14),"")</f>
        <v>0.2</v>
      </c>
      <c r="E2" s="15" t="s">
        <v>282</v>
      </c>
    </row>
    <row r="3" customFormat="false" ht="15" hidden="false" customHeight="true" outlineLevel="0" collapsed="false">
      <c r="A3" s="12" t="s">
        <v>208</v>
      </c>
      <c r="B3" s="12" t="n">
        <f aca="false">COUNTIFS('执行记录 Runs'!$C$3:$C$30,"A",'执行记录 Runs'!$K$3:$K$30,A3)+COUNTIFS('执行记录 Runs'!$C$3:$C$30,"A",'执行记录 Runs'!$L$3:$L$30,A3)+COUNTIFS('执行记录 Runs'!$C$3:$C$30,"A",'执行记录 Runs'!$M$3:$M$30,A3)</f>
        <v>9</v>
      </c>
      <c r="C3" s="12" t="n">
        <f aca="false">COUNTIFS('执行记录 Runs'!$C$3:$C$30,"B",'执行记录 Runs'!$K$3:$K$30,A3)+COUNTIFS('执行记录 Runs'!$C$3:$C$30,"B",'执行记录 Runs'!$L$3:$L$30,A3)+COUNTIFS('执行记录 Runs'!$C$3:$C$30,"B",'执行记录 Runs'!$M$3:$M$30,A3)</f>
        <v>0</v>
      </c>
      <c r="D3" s="32" t="n">
        <f aca="false">IFERROR(B3/SUM($B$2:$B$14),"")</f>
        <v>0.45</v>
      </c>
      <c r="E3" s="15" t="s">
        <v>283</v>
      </c>
    </row>
    <row r="4" customFormat="false" ht="15" hidden="false" customHeight="true" outlineLevel="0" collapsed="false">
      <c r="A4" s="12" t="s">
        <v>225</v>
      </c>
      <c r="B4" s="12" t="n">
        <f aca="false">COUNTIFS('执行记录 Runs'!$C$3:$C$30,"A",'执行记录 Runs'!$K$3:$K$30,A4)+COUNTIFS('执行记录 Runs'!$C$3:$C$30,"A",'执行记录 Runs'!$L$3:$L$30,A4)+COUNTIFS('执行记录 Runs'!$C$3:$C$30,"A",'执行记录 Runs'!$M$3:$M$30,A4)</f>
        <v>2</v>
      </c>
      <c r="C4" s="12" t="n">
        <f aca="false">COUNTIFS('执行记录 Runs'!$C$3:$C$30,"B",'执行记录 Runs'!$K$3:$K$30,A4)+COUNTIFS('执行记录 Runs'!$C$3:$C$30,"B",'执行记录 Runs'!$L$3:$L$30,A4)+COUNTIFS('执行记录 Runs'!$C$3:$C$30,"B",'执行记录 Runs'!$M$3:$M$30,A4)</f>
        <v>0</v>
      </c>
      <c r="D4" s="32" t="n">
        <f aca="false">IFERROR(B4/SUM($B$2:$B$14),"")</f>
        <v>0.1</v>
      </c>
      <c r="E4" s="15" t="s">
        <v>284</v>
      </c>
    </row>
    <row r="5" customFormat="false" ht="15" hidden="false" customHeight="true" outlineLevel="0" collapsed="false">
      <c r="A5" s="12" t="s">
        <v>230</v>
      </c>
      <c r="B5" s="12" t="n">
        <f aca="false">COUNTIFS('执行记录 Runs'!$C$3:$C$30,"A",'执行记录 Runs'!$K$3:$K$30,A5)+COUNTIFS('执行记录 Runs'!$C$3:$C$30,"A",'执行记录 Runs'!$L$3:$L$30,A5)+COUNTIFS('执行记录 Runs'!$C$3:$C$30,"A",'执行记录 Runs'!$M$3:$M$30,A5)</f>
        <v>1</v>
      </c>
      <c r="C5" s="12" t="n">
        <f aca="false">COUNTIFS('执行记录 Runs'!$C$3:$C$30,"B",'执行记录 Runs'!$K$3:$K$30,A5)+COUNTIFS('执行记录 Runs'!$C$3:$C$30,"B",'执行记录 Runs'!$L$3:$L$30,A5)+COUNTIFS('执行记录 Runs'!$C$3:$C$30,"B",'执行记录 Runs'!$M$3:$M$30,A5)</f>
        <v>0</v>
      </c>
      <c r="D5" s="32" t="n">
        <f aca="false">IFERROR(B5/SUM($B$2:$B$14),"")</f>
        <v>0.05</v>
      </c>
      <c r="E5" s="15" t="s">
        <v>285</v>
      </c>
    </row>
    <row r="6" customFormat="false" ht="15" hidden="false" customHeight="true" outlineLevel="0" collapsed="false">
      <c r="A6" s="12" t="s">
        <v>286</v>
      </c>
      <c r="B6" s="12" t="n">
        <f aca="false">COUNTIFS('执行记录 Runs'!$C$3:$C$30,"A",'执行记录 Runs'!$K$3:$K$30,A6)+COUNTIFS('执行记录 Runs'!$C$3:$C$30,"A",'执行记录 Runs'!$L$3:$L$30,A6)+COUNTIFS('执行记录 Runs'!$C$3:$C$30,"A",'执行记录 Runs'!$M$3:$M$30,A6)</f>
        <v>0</v>
      </c>
      <c r="C6" s="12" t="n">
        <f aca="false">COUNTIFS('执行记录 Runs'!$C$3:$C$30,"B",'执行记录 Runs'!$K$3:$K$30,A6)+COUNTIFS('执行记录 Runs'!$C$3:$C$30,"B",'执行记录 Runs'!$L$3:$L$30,A6)+COUNTIFS('执行记录 Runs'!$C$3:$C$30,"B",'执行记录 Runs'!$M$3:$M$30,A6)</f>
        <v>0</v>
      </c>
      <c r="D6" s="32" t="n">
        <f aca="false">IFERROR(B6/SUM($B$2:$B$14),"")</f>
        <v>0</v>
      </c>
      <c r="E6" s="15" t="s">
        <v>287</v>
      </c>
    </row>
    <row r="7" customFormat="false" ht="15" hidden="false" customHeight="true" outlineLevel="0" collapsed="false">
      <c r="A7" s="12" t="s">
        <v>288</v>
      </c>
      <c r="B7" s="12" t="n">
        <f aca="false">COUNTIFS('执行记录 Runs'!$C$3:$C$30,"A",'执行记录 Runs'!$K$3:$K$30,A7)+COUNTIFS('执行记录 Runs'!$C$3:$C$30,"A",'执行记录 Runs'!$L$3:$L$30,A7)+COUNTIFS('执行记录 Runs'!$C$3:$C$30,"A",'执行记录 Runs'!$M$3:$M$30,A7)</f>
        <v>0</v>
      </c>
      <c r="C7" s="12" t="n">
        <f aca="false">COUNTIFS('执行记录 Runs'!$C$3:$C$30,"B",'执行记录 Runs'!$K$3:$K$30,A7)+COUNTIFS('执行记录 Runs'!$C$3:$C$30,"B",'执行记录 Runs'!$L$3:$L$30,A7)+COUNTIFS('执行记录 Runs'!$C$3:$C$30,"B",'执行记录 Runs'!$M$3:$M$30,A7)</f>
        <v>0</v>
      </c>
      <c r="D7" s="32" t="n">
        <f aca="false">IFERROR(B7/SUM($B$2:$B$14),"")</f>
        <v>0</v>
      </c>
      <c r="E7" s="15" t="s">
        <v>289</v>
      </c>
    </row>
    <row r="8" customFormat="false" ht="15" hidden="false" customHeight="true" outlineLevel="0" collapsed="false">
      <c r="A8" s="12" t="s">
        <v>290</v>
      </c>
      <c r="B8" s="12" t="n">
        <f aca="false">COUNTIFS('执行记录 Runs'!$C$3:$C$30,"A",'执行记录 Runs'!$K$3:$K$30,A8)+COUNTIFS('执行记录 Runs'!$C$3:$C$30,"A",'执行记录 Runs'!$L$3:$L$30,A8)+COUNTIFS('执行记录 Runs'!$C$3:$C$30,"A",'执行记录 Runs'!$M$3:$M$30,A8)</f>
        <v>0</v>
      </c>
      <c r="C8" s="12" t="n">
        <f aca="false">COUNTIFS('执行记录 Runs'!$C$3:$C$30,"B",'执行记录 Runs'!$K$3:$K$30,A8)+COUNTIFS('执行记录 Runs'!$C$3:$C$30,"B",'执行记录 Runs'!$L$3:$L$30,A8)+COUNTIFS('执行记录 Runs'!$C$3:$C$30,"B",'执行记录 Runs'!$M$3:$M$30,A8)</f>
        <v>0</v>
      </c>
      <c r="D8" s="32" t="n">
        <f aca="false">IFERROR(B8/SUM($B$2:$B$14),"")</f>
        <v>0</v>
      </c>
      <c r="E8" s="15" t="s">
        <v>291</v>
      </c>
    </row>
    <row r="9" customFormat="false" ht="15" hidden="false" customHeight="true" outlineLevel="0" collapsed="false">
      <c r="A9" s="12" t="s">
        <v>217</v>
      </c>
      <c r="B9" s="12" t="n">
        <f aca="false">COUNTIFS('执行记录 Runs'!$C$3:$C$30,"A",'执行记录 Runs'!$K$3:$K$30,A9)+COUNTIFS('执行记录 Runs'!$C$3:$C$30,"A",'执行记录 Runs'!$L$3:$L$30,A9)+COUNTIFS('执行记录 Runs'!$C$3:$C$30,"A",'执行记录 Runs'!$M$3:$M$30,A9)</f>
        <v>4</v>
      </c>
      <c r="C9" s="12" t="n">
        <f aca="false">COUNTIFS('执行记录 Runs'!$C$3:$C$30,"B",'执行记录 Runs'!$K$3:$K$30,A9)+COUNTIFS('执行记录 Runs'!$C$3:$C$30,"B",'执行记录 Runs'!$L$3:$L$30,A9)+COUNTIFS('执行记录 Runs'!$C$3:$C$30,"B",'执行记录 Runs'!$M$3:$M$30,A9)</f>
        <v>0</v>
      </c>
      <c r="D9" s="32" t="n">
        <f aca="false">IFERROR(B9/SUM($B$2:$B$14),"")</f>
        <v>0.2</v>
      </c>
      <c r="E9" s="15" t="s">
        <v>292</v>
      </c>
    </row>
    <row r="10" customFormat="false" ht="15" hidden="false" customHeight="true" outlineLevel="0" collapsed="false">
      <c r="A10" s="12" t="s">
        <v>293</v>
      </c>
      <c r="B10" s="12" t="n">
        <f aca="false">COUNTIFS('执行记录 Runs'!$C$3:$C$30,"A",'执行记录 Runs'!$K$3:$K$30,A10)+COUNTIFS('执行记录 Runs'!$C$3:$C$30,"A",'执行记录 Runs'!$L$3:$L$30,A10)+COUNTIFS('执行记录 Runs'!$C$3:$C$30,"A",'执行记录 Runs'!$M$3:$M$30,A10)</f>
        <v>0</v>
      </c>
      <c r="C10" s="12" t="n">
        <f aca="false">COUNTIFS('执行记录 Runs'!$C$3:$C$30,"B",'执行记录 Runs'!$K$3:$K$30,A10)+COUNTIFS('执行记录 Runs'!$C$3:$C$30,"B",'执行记录 Runs'!$L$3:$L$30,A10)+COUNTIFS('执行记录 Runs'!$C$3:$C$30,"B",'执行记录 Runs'!$M$3:$M$30,A10)</f>
        <v>0</v>
      </c>
      <c r="D10" s="32" t="n">
        <f aca="false">IFERROR(B10/SUM($B$2:$B$14),"")</f>
        <v>0</v>
      </c>
      <c r="E10" s="15" t="s">
        <v>294</v>
      </c>
    </row>
    <row r="11" customFormat="false" ht="15" hidden="false" customHeight="true" outlineLevel="0" collapsed="false">
      <c r="A11" s="12" t="s">
        <v>295</v>
      </c>
      <c r="B11" s="12" t="n">
        <f aca="false">COUNTIFS('执行记录 Runs'!$C$3:$C$30,"A",'执行记录 Runs'!$K$3:$K$30,A11)+COUNTIFS('执行记录 Runs'!$C$3:$C$30,"A",'执行记录 Runs'!$L$3:$L$30,A11)+COUNTIFS('执行记录 Runs'!$C$3:$C$30,"A",'执行记录 Runs'!$M$3:$M$30,A11)</f>
        <v>0</v>
      </c>
      <c r="C11" s="12" t="n">
        <f aca="false">COUNTIFS('执行记录 Runs'!$C$3:$C$30,"B",'执行记录 Runs'!$K$3:$K$30,A11)+COUNTIFS('执行记录 Runs'!$C$3:$C$30,"B",'执行记录 Runs'!$L$3:$L$30,A11)+COUNTIFS('执行记录 Runs'!$C$3:$C$30,"B",'执行记录 Runs'!$M$3:$M$30,A11)</f>
        <v>0</v>
      </c>
      <c r="D11" s="32" t="n">
        <f aca="false">IFERROR(B11/SUM($B$2:$B$14),"")</f>
        <v>0</v>
      </c>
      <c r="E11" s="15" t="s">
        <v>296</v>
      </c>
    </row>
    <row r="12" customFormat="false" ht="15" hidden="false" customHeight="true" outlineLevel="0" collapsed="false">
      <c r="A12" s="12" t="s">
        <v>204</v>
      </c>
      <c r="B12" s="12" t="n">
        <f aca="false">COUNTIFS('执行记录 Runs'!$C$3:$C$30,"A",'执行记录 Runs'!$K$3:$K$30,A12)+COUNTIFS('执行记录 Runs'!$C$3:$C$30,"A",'执行记录 Runs'!$L$3:$L$30,A12)+COUNTIFS('执行记录 Runs'!$C$3:$C$30,"A",'执行记录 Runs'!$M$3:$M$30,A12)</f>
        <v>0</v>
      </c>
      <c r="C12" s="12" t="n">
        <f aca="false">COUNTIFS('执行记录 Runs'!$C$3:$C$30,"B",'执行记录 Runs'!$K$3:$K$30,A12)+COUNTIFS('执行记录 Runs'!$C$3:$C$30,"B",'执行记录 Runs'!$L$3:$L$30,A12)+COUNTIFS('执行记录 Runs'!$C$3:$C$30,"B",'执行记录 Runs'!$M$3:$M$30,A12)</f>
        <v>0</v>
      </c>
      <c r="D12" s="32" t="n">
        <f aca="false">IFERROR(B12/SUM($B$2:$B$14),"")</f>
        <v>0</v>
      </c>
      <c r="E12" s="15" t="s">
        <v>297</v>
      </c>
    </row>
    <row r="13" customFormat="false" ht="15" hidden="false" customHeight="true" outlineLevel="0" collapsed="false">
      <c r="A13" s="12" t="s">
        <v>298</v>
      </c>
      <c r="B13" s="12" t="n">
        <f aca="false">COUNTIFS('执行记录 Runs'!$C$3:$C$30,"A",'执行记录 Runs'!$K$3:$K$30,A13)+COUNTIFS('执行记录 Runs'!$C$3:$C$30,"A",'执行记录 Runs'!$L$3:$L$30,A13)+COUNTIFS('执行记录 Runs'!$C$3:$C$30,"A",'执行记录 Runs'!$M$3:$M$30,A13)</f>
        <v>0</v>
      </c>
      <c r="C13" s="12" t="n">
        <f aca="false">COUNTIFS('执行记录 Runs'!$C$3:$C$30,"B",'执行记录 Runs'!$K$3:$K$30,A13)+COUNTIFS('执行记录 Runs'!$C$3:$C$30,"B",'执行记录 Runs'!$L$3:$L$30,A13)+COUNTIFS('执行记录 Runs'!$C$3:$C$30,"B",'执行记录 Runs'!$M$3:$M$30,A13)</f>
        <v>0</v>
      </c>
      <c r="D13" s="32" t="n">
        <f aca="false">IFERROR(B13/SUM($B$2:$B$14),"")</f>
        <v>0</v>
      </c>
      <c r="E13" s="15" t="s">
        <v>299</v>
      </c>
    </row>
    <row r="14" customFormat="false" ht="15" hidden="false" customHeight="true" outlineLevel="0" collapsed="false">
      <c r="A14" s="12" t="s">
        <v>300</v>
      </c>
      <c r="B14" s="12" t="n">
        <f aca="false">COUNTIFS('执行记录 Runs'!$C$3:$C$30,"A",'执行记录 Runs'!$K$3:$K$30,A14)+COUNTIFS('执行记录 Runs'!$C$3:$C$30,"A",'执行记录 Runs'!$L$3:$L$30,A14)+COUNTIFS('执行记录 Runs'!$C$3:$C$30,"A",'执行记录 Runs'!$M$3:$M$30,A14)</f>
        <v>0</v>
      </c>
      <c r="C14" s="12" t="n">
        <f aca="false">COUNTIFS('执行记录 Runs'!$C$3:$C$30,"B",'执行记录 Runs'!$K$3:$K$30,A14)+COUNTIFS('执行记录 Runs'!$C$3:$C$30,"B",'执行记录 Runs'!$L$3:$L$30,A14)+COUNTIFS('执行记录 Runs'!$C$3:$C$30,"B",'执行记录 Runs'!$M$3:$M$30,A14)</f>
        <v>0</v>
      </c>
      <c r="D14" s="32" t="n">
        <f aca="false">IFERROR(B14/SUM($B$2:$B$14),"")</f>
        <v>0</v>
      </c>
      <c r="E14" s="15" t="s">
        <v>301</v>
      </c>
    </row>
    <row r="16" customFormat="false" ht="15" hidden="false" customHeight="true" outlineLevel="0" collapsed="false">
      <c r="A16" s="31" t="s">
        <v>302</v>
      </c>
      <c r="B16" s="29" t="n">
        <f aca="false">SUM(B2:B14)</f>
        <v>20</v>
      </c>
      <c r="C16" s="29" t="n">
        <f aca="false">SUM(C2:C14)</f>
        <v>0</v>
      </c>
    </row>
    <row r="18" customFormat="false" ht="15" hidden="false" customHeight="true" outlineLevel="0" collapsed="false">
      <c r="A18" s="31" t="s">
        <v>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2026-08-11T11:22:54Z</dcterms:created>
  <dc:creator>openpyxl</dc:creator>
  <dc:description/>
  <dc:language>en-US</dc:language>
  <cp:lastModifiedBy/>
  <dcterms:modified xsi:type="dcterms:W3CDTF">2026-08-11T15:48:09Z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